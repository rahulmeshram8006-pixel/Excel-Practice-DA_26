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CA6B421-41B5-4C6A-848E-198EDF863C2E}" xr6:coauthVersionLast="47" xr6:coauthVersionMax="47" xr10:uidLastSave="{00000000-0000-0000-0000-000000000000}"/>
  <bookViews>
    <workbookView xWindow="11412" yWindow="3012" windowWidth="11628" windowHeight="9960" firstSheet="1" activeTab="8" xr2:uid="{00000000-000D-0000-FFFF-FFFF00000000}"/>
  </bookViews>
  <sheets>
    <sheet name="Q1" sheetId="2" r:id="rId1"/>
    <sheet name="Q2" sheetId="3" r:id="rId2"/>
    <sheet name="Q3" sheetId="12" r:id="rId3"/>
    <sheet name="Q4" sheetId="1" r:id="rId4"/>
    <sheet name="Q5" sheetId="6" r:id="rId5"/>
    <sheet name="Q6" sheetId="9" r:id="rId6"/>
    <sheet name="Q7" sheetId="14" r:id="rId7"/>
    <sheet name="Q8" sheetId="15" r:id="rId8"/>
    <sheet name="Q9" sheetId="16" r:id="rId9"/>
    <sheet name="Q10" sheetId="13" r:id="rId10"/>
  </sheets>
  <definedNames>
    <definedName name="_xlnm._FilterDatabase" localSheetId="0" hidden="1">'Q1'!#REF!</definedName>
    <definedName name="_xlnm._FilterDatabase" localSheetId="3" hidden="1">'Q4'!$A$1:$C$443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6" l="1"/>
  <c r="G7" i="16"/>
  <c r="G8" i="16"/>
  <c r="G5" i="16"/>
  <c r="G7" i="15"/>
  <c r="G8" i="15"/>
  <c r="G9" i="15"/>
  <c r="G10" i="15"/>
  <c r="G11" i="15"/>
  <c r="G6" i="15"/>
  <c r="E10" i="14"/>
  <c r="E11" i="14"/>
  <c r="E9" i="14"/>
  <c r="D7" i="9"/>
  <c r="D8" i="9"/>
  <c r="D9" i="9"/>
  <c r="D10" i="9"/>
  <c r="D11" i="9"/>
  <c r="I6" i="9"/>
  <c r="I7" i="9"/>
  <c r="I8" i="9"/>
  <c r="I9" i="9"/>
  <c r="I10" i="9"/>
  <c r="I11" i="9"/>
  <c r="I5" i="9"/>
  <c r="G6" i="9"/>
  <c r="G7" i="9"/>
  <c r="G8" i="9"/>
  <c r="G9" i="9"/>
  <c r="G10" i="9"/>
  <c r="G11" i="9"/>
  <c r="G5" i="9"/>
  <c r="H6" i="9"/>
  <c r="H7" i="9"/>
  <c r="H8" i="9"/>
  <c r="H9" i="9"/>
  <c r="H10" i="9"/>
  <c r="H11" i="9"/>
  <c r="H5" i="9"/>
  <c r="E6" i="9"/>
  <c r="E7" i="9"/>
  <c r="E8" i="9"/>
  <c r="E9" i="9"/>
  <c r="E10" i="9"/>
  <c r="E11" i="9"/>
  <c r="E5" i="9"/>
  <c r="G6" i="6"/>
  <c r="G7" i="6"/>
  <c r="G8" i="6"/>
  <c r="G9" i="6"/>
  <c r="G10" i="6"/>
  <c r="G11" i="6"/>
  <c r="G12" i="6"/>
  <c r="G13" i="6"/>
  <c r="G14" i="6"/>
  <c r="G15" i="6"/>
  <c r="G16" i="6"/>
  <c r="G5" i="6"/>
  <c r="F6" i="6"/>
  <c r="F7" i="6"/>
  <c r="F8" i="6"/>
  <c r="F9" i="6"/>
  <c r="F10" i="6"/>
  <c r="F11" i="6"/>
  <c r="F12" i="6"/>
  <c r="F13" i="6"/>
  <c r="F14" i="6"/>
  <c r="F15" i="6"/>
  <c r="F16" i="6"/>
  <c r="F5" i="6"/>
  <c r="E6" i="6"/>
  <c r="E7" i="6"/>
  <c r="E8" i="6"/>
  <c r="E9" i="6"/>
  <c r="E10" i="6"/>
  <c r="E11" i="6"/>
  <c r="E12" i="6"/>
  <c r="E13" i="6"/>
  <c r="E14" i="6"/>
  <c r="E15" i="6"/>
  <c r="E16" i="6"/>
  <c r="E5" i="6"/>
  <c r="B6" i="6"/>
  <c r="B7" i="6"/>
  <c r="B8" i="6"/>
  <c r="B9" i="6"/>
  <c r="B10" i="6"/>
  <c r="B11" i="6"/>
  <c r="B12" i="6"/>
  <c r="B13" i="6"/>
  <c r="B14" i="6"/>
  <c r="B15" i="6"/>
  <c r="B16" i="6"/>
  <c r="B5" i="6"/>
  <c r="D6" i="6"/>
  <c r="D7" i="6"/>
  <c r="D8" i="6"/>
  <c r="D9" i="6"/>
  <c r="D10" i="6"/>
  <c r="D11" i="6"/>
  <c r="D12" i="6"/>
  <c r="D13" i="6"/>
  <c r="D14" i="6"/>
  <c r="D15" i="6"/>
  <c r="D16" i="6"/>
  <c r="D5" i="6"/>
  <c r="C6" i="6"/>
  <c r="C7" i="6"/>
  <c r="C8" i="6"/>
  <c r="C9" i="6"/>
  <c r="C10" i="6"/>
  <c r="C11" i="6"/>
  <c r="C12" i="6"/>
  <c r="C13" i="6"/>
  <c r="C14" i="6"/>
  <c r="C15" i="6"/>
  <c r="C16" i="6"/>
  <c r="C5" i="6"/>
  <c r="B9" i="12"/>
  <c r="B5" i="12"/>
  <c r="K13" i="13" a="1"/>
  <c r="K13" i="13"/>
  <c r="K14" i="13" a="1"/>
  <c r="K14" i="13"/>
  <c r="K15" i="13" a="1"/>
  <c r="K15" i="13"/>
  <c r="K16" i="13" a="1"/>
  <c r="K16" i="13"/>
  <c r="K17" i="13" a="1"/>
  <c r="K17" i="13"/>
  <c r="K18" i="13" a="1"/>
  <c r="K18" i="13"/>
  <c r="K19" i="13" a="1"/>
  <c r="K19" i="13"/>
  <c r="K20" i="13" a="1"/>
  <c r="K20" i="13"/>
  <c r="K21" i="13" a="1"/>
  <c r="K21" i="13"/>
  <c r="K22" i="13" a="1"/>
  <c r="K22" i="13"/>
  <c r="K23" i="13" a="1"/>
  <c r="K23" i="13"/>
  <c r="K24" i="13" a="1"/>
  <c r="K24" i="13"/>
  <c r="K25" i="13" a="1"/>
  <c r="K25" i="13"/>
  <c r="K26" i="13" a="1"/>
  <c r="K26" i="13"/>
  <c r="K27" i="13" a="1"/>
  <c r="K27" i="13"/>
  <c r="K28" i="13" a="1"/>
  <c r="K28" i="13"/>
  <c r="K29" i="13" a="1"/>
  <c r="K29" i="13"/>
  <c r="K30" i="13" a="1"/>
  <c r="K30" i="13"/>
  <c r="K31" i="13" a="1"/>
  <c r="K31" i="13"/>
  <c r="K32" i="13" a="1"/>
  <c r="K32" i="13"/>
  <c r="K33" i="13" a="1"/>
  <c r="K33" i="13"/>
  <c r="K34" i="13" a="1"/>
  <c r="K34" i="13"/>
  <c r="K12" i="13" a="1"/>
  <c r="K12" i="13" s="1"/>
  <c r="J13" i="13" a="1"/>
  <c r="J13" i="13"/>
  <c r="J14" i="13" a="1"/>
  <c r="J14" i="13"/>
  <c r="J15" i="13" a="1"/>
  <c r="J15" i="13"/>
  <c r="J16" i="13" a="1"/>
  <c r="J16" i="13"/>
  <c r="J17" i="13" a="1"/>
  <c r="J17" i="13"/>
  <c r="J18" i="13" a="1"/>
  <c r="J18" i="13"/>
  <c r="J19" i="13" a="1"/>
  <c r="J19" i="13"/>
  <c r="J20" i="13" a="1"/>
  <c r="J20" i="13"/>
  <c r="J21" i="13" a="1"/>
  <c r="J21" i="13"/>
  <c r="J22" i="13" a="1"/>
  <c r="J22" i="13"/>
  <c r="J23" i="13" a="1"/>
  <c r="J23" i="13"/>
  <c r="J24" i="13" a="1"/>
  <c r="J24" i="13"/>
  <c r="J25" i="13" a="1"/>
  <c r="J25" i="13"/>
  <c r="J26" i="13" a="1"/>
  <c r="J26" i="13"/>
  <c r="J27" i="13" a="1"/>
  <c r="J27" i="13"/>
  <c r="J28" i="13" a="1"/>
  <c r="J28" i="13"/>
  <c r="J29" i="13" a="1"/>
  <c r="J29" i="13"/>
  <c r="J30" i="13" a="1"/>
  <c r="J30" i="13"/>
  <c r="J31" i="13" a="1"/>
  <c r="J31" i="13"/>
  <c r="J32" i="13" a="1"/>
  <c r="J32" i="13"/>
  <c r="J33" i="13" a="1"/>
  <c r="J33" i="13"/>
  <c r="J34" i="13" a="1"/>
  <c r="J34" i="13"/>
  <c r="J12" i="13" a="1"/>
  <c r="J12" i="13" s="1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12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C5" i="9"/>
  <c r="C6" i="9"/>
  <c r="C7" i="9"/>
  <c r="C8" i="9"/>
  <c r="C9" i="9"/>
  <c r="C10" i="9"/>
  <c r="C11" i="9"/>
  <c r="B6" i="9"/>
  <c r="F6" i="9" s="1"/>
  <c r="B7" i="9"/>
  <c r="F7" i="9" s="1"/>
  <c r="B8" i="9"/>
  <c r="F8" i="9" s="1"/>
  <c r="B9" i="9"/>
  <c r="F9" i="9" s="1"/>
  <c r="B10" i="9"/>
  <c r="F10" i="9" s="1"/>
  <c r="B11" i="9"/>
  <c r="F11" i="9" s="1"/>
  <c r="B5" i="9"/>
  <c r="F5" i="9" s="1"/>
  <c r="D7" i="1"/>
  <c r="D3" i="1"/>
  <c r="B2" i="3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<sst xmlns="http://schemas.openxmlformats.org/spreadsheetml/2006/main" count="617" uniqueCount="152">
  <si>
    <t>Date</t>
  </si>
  <si>
    <t>A</t>
  </si>
  <si>
    <t>b</t>
  </si>
  <si>
    <t>c</t>
  </si>
  <si>
    <t>d</t>
  </si>
  <si>
    <t>e</t>
  </si>
  <si>
    <t>f</t>
  </si>
  <si>
    <t>g</t>
  </si>
  <si>
    <t>h</t>
  </si>
  <si>
    <t>Items</t>
  </si>
  <si>
    <t>AA</t>
  </si>
  <si>
    <t>BB</t>
  </si>
  <si>
    <t>CC</t>
  </si>
  <si>
    <t>DD</t>
  </si>
  <si>
    <t>DDD</t>
  </si>
  <si>
    <t>EEE</t>
  </si>
  <si>
    <t>E</t>
  </si>
  <si>
    <t>EEEE</t>
  </si>
  <si>
    <t>KK</t>
  </si>
  <si>
    <t>TT</t>
  </si>
  <si>
    <t>AAAA</t>
  </si>
  <si>
    <t>DASD</t>
  </si>
  <si>
    <t>DAS</t>
  </si>
  <si>
    <t>DS</t>
  </si>
  <si>
    <t>SS</t>
  </si>
  <si>
    <t>DSA</t>
  </si>
  <si>
    <t>SA</t>
  </si>
  <si>
    <t>EE</t>
  </si>
  <si>
    <t>WEW</t>
  </si>
  <si>
    <t>Item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</si>
  <si>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</si>
  <si>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</si>
  <si>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</si>
  <si>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</si>
  <si>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</si>
  <si>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</si>
  <si>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</si>
  <si>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</si>
  <si>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</si>
  <si>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</si>
  <si>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</si>
  <si>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</si>
  <si>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</si>
  <si>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</si>
  <si>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</si>
  <si>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</si>
  <si>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Efficiency</t>
  </si>
  <si>
    <t>Vikas Sharma</t>
  </si>
  <si>
    <t>Sachin</t>
  </si>
  <si>
    <t>Rohit</t>
  </si>
  <si>
    <t>Rating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</si>
  <si>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</si>
  <si>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</si>
  <si>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</si>
  <si>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</si>
  <si>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</si>
  <si>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</si>
  <si>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</si>
  <si>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</si>
  <si>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</si>
  <si>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</si>
  <si>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</si>
  <si>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</si>
  <si>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</si>
  <si>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</si>
  <si>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</si>
  <si>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</si>
  <si>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</si>
  <si>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</si>
  <si>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</si>
  <si>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</si>
  <si>
    <t>D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</si>
  <si>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</si>
  <si>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</si>
  <si>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</si>
  <si>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</si>
  <si>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</si>
  <si>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</si>
  <si>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</si>
  <si>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</si>
  <si>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</si>
  <si>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</si>
  <si>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</si>
  <si>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Calculate total marks, Percentage, Grade as per the slab and the student is pass or fail</t>
  </si>
  <si>
    <t>Slab</t>
  </si>
  <si>
    <t>&gt;33%</t>
  </si>
  <si>
    <t>C</t>
  </si>
  <si>
    <t>&gt;33.01% and &lt;=45%</t>
  </si>
  <si>
    <t>B+</t>
  </si>
  <si>
    <t>&gt;=45.01% and &lt;=60%</t>
  </si>
  <si>
    <t>B</t>
  </si>
  <si>
    <t>&gt;=60.01% and &lt;=80%</t>
  </si>
  <si>
    <t>&gt;=80.01%</t>
  </si>
  <si>
    <t>A+</t>
  </si>
  <si>
    <t>Pass if Marks is greater than Equal to 33%</t>
  </si>
  <si>
    <t>Fail if Marks is less than 33%</t>
  </si>
  <si>
    <t>Q-1. count the two digit no.s from the given data</t>
  </si>
  <si>
    <t>Ans:</t>
  </si>
  <si>
    <t>Q-2. Count the no. of text strings who's length is 2</t>
  </si>
  <si>
    <t>APG</t>
  </si>
  <si>
    <t>KA</t>
  </si>
  <si>
    <t>MU</t>
  </si>
  <si>
    <t>PP</t>
  </si>
  <si>
    <t>POP</t>
  </si>
  <si>
    <t>BOB</t>
  </si>
  <si>
    <t>DU</t>
  </si>
  <si>
    <t>PEL</t>
  </si>
  <si>
    <t>GEL</t>
  </si>
  <si>
    <t>Q-3. Overview of when to use SUMIF and COUNTIF functions in Excel.</t>
  </si>
  <si>
    <t>Q-3(A). Find the no. of spaces from the above text string?</t>
  </si>
  <si>
    <t>Q-3(B). Find the length of above text string without space?</t>
  </si>
  <si>
    <t>Month</t>
  </si>
  <si>
    <t xml:space="preserve">Q-4(B).Count the no of item which is equal to "A"  for the year 2011 </t>
  </si>
  <si>
    <t>Year</t>
  </si>
  <si>
    <t>Formula</t>
  </si>
  <si>
    <t>Q-5. Using text function change the format of dates according to the row no 4</t>
  </si>
  <si>
    <t>Q-4(A). Count the no. of Items as per the month according to the given validation in C3</t>
  </si>
  <si>
    <t>Q-10. Below is Student Data in that do calculation then assign Grade and Pass/Fail status as per below given conditions.</t>
  </si>
  <si>
    <t>Q-6. Find the following according to the above fields?</t>
  </si>
  <si>
    <t>Text String</t>
  </si>
  <si>
    <t>Name</t>
  </si>
  <si>
    <t>Output</t>
  </si>
  <si>
    <t>rohit,,,sunny,sunita,rohit,,,////(((alka,rohit</t>
  </si>
  <si>
    <t>rohit</t>
  </si>
  <si>
    <t>Deepak!!!pankaj@@@@pankaj@@@@rohit</t>
  </si>
  <si>
    <t>pankaj</t>
  </si>
  <si>
    <t>ajay,ajay,anil,ajay,ajay&amp;&amp;&amp;pankaj</t>
  </si>
  <si>
    <t>ajay</t>
  </si>
  <si>
    <t>Q-7. Count the no. of times name appearing in a Cell</t>
  </si>
  <si>
    <t>Sr No.</t>
  </si>
  <si>
    <t>M</t>
  </si>
  <si>
    <t>agarwal,priyank</t>
  </si>
  <si>
    <t>shukla,virit</t>
  </si>
  <si>
    <t>F</t>
  </si>
  <si>
    <t>kaur,daljeet</t>
  </si>
  <si>
    <t>malhotra,neha</t>
  </si>
  <si>
    <t>negi,chandan</t>
  </si>
  <si>
    <t>gupta,bharti</t>
  </si>
  <si>
    <t>Mr./Mrs. First Name_Last Name</t>
  </si>
  <si>
    <t>Gender</t>
  </si>
  <si>
    <t>Q-8. Display the full name in the output box with the correct prefix (Mr./Mrs. based on gender), followed by the First_Name, a space, and then the Last_Name.</t>
  </si>
  <si>
    <t>Sr. No</t>
  </si>
  <si>
    <t>Rohit.Gupta.Checkno.123456</t>
  </si>
  <si>
    <t>tilakraj.checkno.000789</t>
  </si>
  <si>
    <t>rahuldated12/05/2015checkno.123456</t>
  </si>
  <si>
    <t>sardeep.checkno.12345</t>
  </si>
  <si>
    <t>Cheque No.</t>
  </si>
  <si>
    <t>Description</t>
  </si>
  <si>
    <t>Q-9. Find out the cheque no. from the data</t>
  </si>
  <si>
    <t>Formula to count tow digit Number &gt;=</t>
  </si>
  <si>
    <t>countifs(range,"&gt;10",range"&lt;99")</t>
  </si>
  <si>
    <t>COUNTIF=&gt; FORMULA= COUNTIF(RANGE,"??")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</si>
</sst>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[$-409]dddd\,\ mmmm\ dd\,\ yyyy"/>
    <numFmt numFmtId="165" formatCode="[$-F800]dddd\,\ mmmm\ dd\,\ yyyy"/>
    <numFmt numFmtId="166" formatCode="m/d;@"/>
    <numFmt numFmtId="167" formatCode="[$-409]mmmm\-yy;@"/>
    <numFmt numFmtId="168" formatCode="[$-409]d\-mmm;@"/>
    <numFmt numFmtId="169" formatCode="[$-409]d\-mmm\-yy;@"/>
    <numFmt numFmtId="170" formatCode="[$-409]m/d/yy\ h:mm\ AM/PM;@"/>
    <numFmt numFmtId="171" formatCode="dd\-mm\-yy"/>
    <numFmt numFmtId="172" formatCode="[$-14009]dd\ mmmm\ yyyy;@"/>
  </numFmts>
  <fonts count="15" x14ac:knownFonts="1"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1" tint="0.34998626667073579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thick">
        <color theme="0"/>
      </bottom>
      <diagonal/>
    </border>
    <border>
      <left style="medium">
        <color theme="1" tint="0.34998626667073579"/>
      </left>
      <right/>
      <top style="thin">
        <color indexed="64"/>
      </top>
      <bottom style="thin">
        <color indexed="64"/>
      </bottom>
      <diagonal/>
    </border>
    <border>
      <left style="medium">
        <color theme="1" tint="0.34998626667073579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medium">
        <color theme="1" tint="0.34998626667073579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medium">
        <color indexed="64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/>
      <top style="medium">
        <color indexed="64"/>
      </top>
      <bottom style="thick">
        <color theme="1"/>
      </bottom>
      <diagonal/>
    </border>
    <border>
      <left style="medium">
        <color indexed="64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/>
      <diagonal/>
    </border>
    <border>
      <left style="medium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/>
      <diagonal/>
    </border>
    <border>
      <left/>
      <right style="medium">
        <color theme="1" tint="0.34998626667073579"/>
      </right>
      <top style="thick">
        <color theme="1"/>
      </top>
      <bottom style="thick">
        <color theme="1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218">
    <xf numFmtId="0" fontId="0" fillId="0" borderId="0" xfId="0"/>
    <xf numFmtId="14" fontId="0" fillId="0" borderId="0" xfId="0" applyNumberFormat="1"/>
    <xf numFmtId="17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0" fontId="9" fillId="0" borderId="0" xfId="0" applyFont="1"/>
    <xf numFmtId="0" fontId="7" fillId="2" borderId="0" xfId="0" applyFont="1" applyFill="1"/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3" borderId="8" xfId="0" applyFont="1" applyFill="1" applyBorder="1"/>
    <xf numFmtId="0" fontId="8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8" fillId="3" borderId="7" xfId="0" applyFont="1" applyFill="1" applyBorder="1"/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5" borderId="0" xfId="0" applyFill="1"/>
    <xf numFmtId="171" fontId="0" fillId="0" borderId="10" xfId="0" applyNumberFormat="1" applyBorder="1"/>
    <xf numFmtId="0" fontId="8" fillId="3" borderId="11" xfId="0" applyFont="1" applyFill="1" applyBorder="1"/>
    <xf numFmtId="0" fontId="8" fillId="3" borderId="9" xfId="0" applyFont="1" applyFill="1" applyBorder="1"/>
    <xf numFmtId="0" fontId="8" fillId="3" borderId="12" xfId="0" applyFont="1" applyFill="1" applyBorder="1"/>
    <xf numFmtId="0" fontId="0" fillId="0" borderId="15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22" xfId="0" applyBorder="1"/>
    <xf numFmtId="0" fontId="7" fillId="2" borderId="24" xfId="0" applyFont="1" applyFill="1" applyBorder="1"/>
    <xf numFmtId="0" fontId="7" fillId="2" borderId="27" xfId="0" applyFont="1" applyFill="1" applyBorder="1"/>
    <xf numFmtId="0" fontId="7" fillId="2" borderId="15" xfId="0" applyFont="1" applyFill="1" applyBorder="1"/>
    <xf numFmtId="0" fontId="7" fillId="2" borderId="28" xfId="0" applyFont="1" applyFill="1" applyBorder="1"/>
    <xf numFmtId="0" fontId="0" fillId="0" borderId="29" xfId="0" applyBorder="1"/>
    <xf numFmtId="170" fontId="9" fillId="0" borderId="25" xfId="0" applyNumberFormat="1" applyFont="1" applyBorder="1" applyAlignment="1">
      <alignment horizontal="center"/>
    </xf>
    <xf numFmtId="165" fontId="9" fillId="2" borderId="26" xfId="0" applyNumberFormat="1" applyFont="1" applyFill="1" applyBorder="1" applyAlignment="1">
      <alignment horizontal="center"/>
    </xf>
    <xf numFmtId="165" fontId="9" fillId="2" borderId="20" xfId="0" applyNumberFormat="1" applyFont="1" applyFill="1" applyBorder="1" applyAlignment="1">
      <alignment horizontal="center"/>
    </xf>
    <xf numFmtId="170" fontId="9" fillId="0" borderId="13" xfId="0" applyNumberFormat="1" applyFont="1" applyBorder="1" applyAlignment="1">
      <alignment horizontal="center"/>
    </xf>
    <xf numFmtId="170" fontId="9" fillId="0" borderId="14" xfId="0" applyNumberFormat="1" applyFont="1" applyBorder="1" applyAlignment="1">
      <alignment horizontal="center"/>
    </xf>
    <xf numFmtId="170" fontId="9" fillId="0" borderId="16" xfId="0" applyNumberFormat="1" applyFont="1" applyBorder="1" applyAlignment="1">
      <alignment horizontal="center"/>
    </xf>
    <xf numFmtId="0" fontId="0" fillId="0" borderId="31" xfId="0" applyBorder="1"/>
    <xf numFmtId="0" fontId="8" fillId="3" borderId="32" xfId="0" applyFont="1" applyFill="1" applyBorder="1"/>
    <xf numFmtId="0" fontId="8" fillId="3" borderId="15" xfId="0" applyFont="1" applyFill="1" applyBorder="1"/>
    <xf numFmtId="0" fontId="8" fillId="3" borderId="27" xfId="0" applyFont="1" applyFill="1" applyBorder="1"/>
    <xf numFmtId="0" fontId="7" fillId="2" borderId="27" xfId="0" applyFont="1" applyFill="1" applyBorder="1" applyAlignment="1">
      <alignment horizontal="center"/>
    </xf>
    <xf numFmtId="0" fontId="0" fillId="0" borderId="27" xfId="0" applyBorder="1"/>
    <xf numFmtId="0" fontId="8" fillId="3" borderId="29" xfId="0" applyFont="1" applyFill="1" applyBorder="1"/>
    <xf numFmtId="0" fontId="8" fillId="3" borderId="36" xfId="0" applyFont="1" applyFill="1" applyBorder="1"/>
    <xf numFmtId="0" fontId="7" fillId="2" borderId="37" xfId="0" applyFont="1" applyFill="1" applyBorder="1" applyAlignment="1">
      <alignment horizontal="center"/>
    </xf>
    <xf numFmtId="0" fontId="0" fillId="0" borderId="10" xfId="0" applyBorder="1"/>
    <xf numFmtId="0" fontId="7" fillId="2" borderId="32" xfId="0" applyFont="1" applyFill="1" applyBorder="1"/>
    <xf numFmtId="0" fontId="7" fillId="2" borderId="36" xfId="0" applyFont="1" applyFill="1" applyBorder="1"/>
    <xf numFmtId="0" fontId="0" fillId="0" borderId="38" xfId="0" applyBorder="1" applyAlignment="1">
      <alignment horizontal="left"/>
    </xf>
    <xf numFmtId="0" fontId="7" fillId="2" borderId="42" xfId="0" applyFont="1" applyFill="1" applyBorder="1"/>
    <xf numFmtId="0" fontId="0" fillId="0" borderId="27" xfId="0" applyBorder="1" applyAlignment="1">
      <alignment horizontal="left"/>
    </xf>
    <xf numFmtId="0" fontId="8" fillId="3" borderId="39" xfId="0" applyFont="1" applyFill="1" applyBorder="1"/>
    <xf numFmtId="0" fontId="0" fillId="0" borderId="29" xfId="0" applyBorder="1" applyAlignment="1">
      <alignment horizontal="left"/>
    </xf>
    <xf numFmtId="0" fontId="8" fillId="3" borderId="41" xfId="0" applyFont="1" applyFill="1" applyBorder="1"/>
    <xf numFmtId="0" fontId="8" fillId="3" borderId="43" xfId="0" applyFont="1" applyFill="1" applyBorder="1"/>
    <xf numFmtId="0" fontId="8" fillId="3" borderId="44" xfId="0" applyFont="1" applyFill="1" applyBorder="1"/>
    <xf numFmtId="0" fontId="0" fillId="0" borderId="15" xfId="0" applyBorder="1" applyAlignment="1">
      <alignment horizontal="left"/>
    </xf>
    <xf numFmtId="0" fontId="8" fillId="3" borderId="28" xfId="0" applyFont="1" applyFill="1" applyBorder="1"/>
    <xf numFmtId="0" fontId="7" fillId="2" borderId="29" xfId="0" applyFont="1" applyFill="1" applyBorder="1"/>
    <xf numFmtId="0" fontId="4" fillId="0" borderId="1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7" fillId="2" borderId="30" xfId="0" applyFont="1" applyFill="1" applyBorder="1"/>
    <xf numFmtId="0" fontId="7" fillId="2" borderId="40" xfId="0" applyFont="1" applyFill="1" applyBorder="1" applyAlignment="1">
      <alignment horizontal="center"/>
    </xf>
    <xf numFmtId="0" fontId="8" fillId="3" borderId="40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center"/>
    </xf>
    <xf numFmtId="0" fontId="8" fillId="3" borderId="37" xfId="0" applyFont="1" applyFill="1" applyBorder="1"/>
    <xf numFmtId="0" fontId="8" fillId="3" borderId="27" xfId="0" applyFont="1" applyFill="1" applyBorder="1" applyAlignment="1">
      <alignment horizontal="center"/>
    </xf>
    <xf numFmtId="14" fontId="8" fillId="3" borderId="45" xfId="0" applyNumberFormat="1" applyFont="1" applyFill="1" applyBorder="1" applyAlignment="1">
      <alignment horizontal="center"/>
    </xf>
    <xf numFmtId="165" fontId="8" fillId="3" borderId="40" xfId="0" applyNumberFormat="1" applyFont="1" applyFill="1" applyBorder="1" applyAlignment="1">
      <alignment horizontal="center"/>
    </xf>
    <xf numFmtId="166" fontId="8" fillId="3" borderId="40" xfId="0" applyNumberFormat="1" applyFont="1" applyFill="1" applyBorder="1" applyAlignment="1">
      <alignment horizontal="center"/>
    </xf>
    <xf numFmtId="167" fontId="8" fillId="3" borderId="27" xfId="0" applyNumberFormat="1" applyFont="1" applyFill="1" applyBorder="1" applyAlignment="1">
      <alignment horizontal="center"/>
    </xf>
    <xf numFmtId="168" fontId="8" fillId="3" borderId="40" xfId="0" applyNumberFormat="1" applyFont="1" applyFill="1" applyBorder="1" applyAlignment="1">
      <alignment horizontal="center"/>
    </xf>
    <xf numFmtId="169" fontId="8" fillId="3" borderId="27" xfId="0" applyNumberFormat="1" applyFont="1" applyFill="1" applyBorder="1" applyAlignment="1">
      <alignment horizontal="center"/>
    </xf>
    <xf numFmtId="164" fontId="8" fillId="3" borderId="40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/>
    <xf numFmtId="0" fontId="4" fillId="0" borderId="46" xfId="0" applyFont="1" applyBorder="1"/>
    <xf numFmtId="0" fontId="4" fillId="2" borderId="18" xfId="0" applyFont="1" applyFill="1" applyBorder="1"/>
    <xf numFmtId="0" fontId="4" fillId="2" borderId="47" xfId="0" applyFont="1" applyFill="1" applyBorder="1"/>
    <xf numFmtId="0" fontId="5" fillId="3" borderId="40" xfId="0" applyFont="1" applyFill="1" applyBorder="1" applyAlignment="1">
      <alignment horizontal="center"/>
    </xf>
    <xf numFmtId="0" fontId="4" fillId="0" borderId="48" xfId="0" applyFont="1" applyBorder="1"/>
    <xf numFmtId="0" fontId="5" fillId="3" borderId="49" xfId="0" applyFont="1" applyFill="1" applyBorder="1" applyAlignment="1">
      <alignment horizontal="center"/>
    </xf>
    <xf numFmtId="0" fontId="7" fillId="2" borderId="50" xfId="0" applyFont="1" applyFill="1" applyBorder="1"/>
    <xf numFmtId="0" fontId="8" fillId="5" borderId="0" xfId="0" applyFont="1" applyFill="1"/>
    <xf numFmtId="0" fontId="8" fillId="5" borderId="50" xfId="0" applyFont="1" applyFill="1" applyBorder="1"/>
    <xf numFmtId="0" fontId="8" fillId="3" borderId="50" xfId="0" applyFont="1" applyFill="1" applyBorder="1"/>
    <xf numFmtId="0" fontId="0" fillId="5" borderId="22" xfId="0" applyFill="1" applyBorder="1"/>
    <xf numFmtId="0" fontId="8" fillId="5" borderId="27" xfId="0" applyFont="1" applyFill="1" applyBorder="1"/>
    <xf numFmtId="0" fontId="8" fillId="5" borderId="15" xfId="0" applyFont="1" applyFill="1" applyBorder="1"/>
    <xf numFmtId="0" fontId="4" fillId="2" borderId="17" xfId="0" applyFont="1" applyFill="1" applyBorder="1"/>
    <xf numFmtId="0" fontId="4" fillId="2" borderId="26" xfId="0" applyFont="1" applyFill="1" applyBorder="1"/>
    <xf numFmtId="0" fontId="4" fillId="5" borderId="0" xfId="0" applyFont="1" applyFill="1"/>
    <xf numFmtId="0" fontId="4" fillId="0" borderId="22" xfId="0" applyFont="1" applyBorder="1"/>
    <xf numFmtId="0" fontId="4" fillId="4" borderId="15" xfId="0" applyFont="1" applyFill="1" applyBorder="1"/>
    <xf numFmtId="0" fontId="4" fillId="4" borderId="35" xfId="0" applyFont="1" applyFill="1" applyBorder="1"/>
    <xf numFmtId="0" fontId="8" fillId="3" borderId="55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4" borderId="62" xfId="0" applyFont="1" applyFill="1" applyBorder="1"/>
    <xf numFmtId="0" fontId="8" fillId="5" borderId="56" xfId="0" applyFont="1" applyFill="1" applyBorder="1"/>
    <xf numFmtId="0" fontId="4" fillId="4" borderId="0" xfId="0" applyFont="1" applyFill="1"/>
    <xf numFmtId="0" fontId="4" fillId="4" borderId="30" xfId="0" applyFont="1" applyFill="1" applyBorder="1"/>
    <xf numFmtId="0" fontId="8" fillId="5" borderId="29" xfId="0" applyFont="1" applyFill="1" applyBorder="1"/>
    <xf numFmtId="0" fontId="11" fillId="0" borderId="54" xfId="0" applyFont="1" applyBorder="1" applyAlignment="1">
      <alignment horizontal="center"/>
    </xf>
    <xf numFmtId="0" fontId="11" fillId="0" borderId="63" xfId="0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0" fontId="8" fillId="3" borderId="31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7" fillId="5" borderId="22" xfId="0" applyFont="1" applyFill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/>
    </xf>
    <xf numFmtId="0" fontId="0" fillId="5" borderId="29" xfId="0" applyFill="1" applyBorder="1"/>
    <xf numFmtId="0" fontId="8" fillId="5" borderId="27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8" fillId="6" borderId="6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0" fillId="2" borderId="0" xfId="0" applyFill="1"/>
    <xf numFmtId="0" fontId="0" fillId="7" borderId="0" xfId="0" applyFill="1"/>
    <xf numFmtId="172" fontId="9" fillId="2" borderId="26" xfId="0" applyNumberFormat="1" applyFont="1" applyFill="1" applyBorder="1" applyAlignment="1">
      <alignment horizontal="center"/>
    </xf>
    <xf numFmtId="22" fontId="0" fillId="0" borderId="0" xfId="0" applyNumberFormat="1"/>
    <xf numFmtId="9" fontId="4" fillId="2" borderId="26" xfId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7" fillId="2" borderId="37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7" fillId="2" borderId="36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/>
    </xf>
    <xf numFmtId="0" fontId="8" fillId="3" borderId="27" xfId="0" applyFont="1" applyFill="1" applyBorder="1" applyAlignment="1">
      <alignment horizontal="center"/>
    </xf>
    <xf numFmtId="0" fontId="8" fillId="3" borderId="66" xfId="0" applyFont="1" applyFill="1" applyBorder="1" applyAlignment="1">
      <alignment horizontal="center"/>
    </xf>
    <xf numFmtId="0" fontId="8" fillId="3" borderId="36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3" borderId="50" xfId="0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left" vertical="center"/>
    </xf>
    <xf numFmtId="0" fontId="10" fillId="3" borderId="36" xfId="0" applyFont="1" applyFill="1" applyBorder="1" applyAlignment="1">
      <alignment horizontal="left" vertical="center"/>
    </xf>
    <xf numFmtId="0" fontId="8" fillId="3" borderId="64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30" xfId="0" applyFont="1" applyBorder="1" applyAlignment="1">
      <alignment horizontal="left"/>
    </xf>
    <xf numFmtId="0" fontId="11" fillId="0" borderId="62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11" fillId="0" borderId="52" xfId="0" applyFont="1" applyBorder="1" applyAlignment="1">
      <alignment horizontal="left"/>
    </xf>
    <xf numFmtId="0" fontId="8" fillId="3" borderId="35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8" fillId="3" borderId="62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52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left" vertical="center" wrapText="1"/>
    </xf>
    <xf numFmtId="0" fontId="7" fillId="2" borderId="28" xfId="0" applyFont="1" applyFill="1" applyBorder="1" applyAlignment="1">
      <alignment horizontal="left" vertical="center" wrapText="1"/>
    </xf>
    <xf numFmtId="0" fontId="11" fillId="2" borderId="3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6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7" fillId="2" borderId="15" xfId="0" applyFont="1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8" fillId="6" borderId="35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6" borderId="37" xfId="0" applyFont="1" applyFill="1" applyBorder="1" applyAlignment="1">
      <alignment horizontal="center" vertical="center"/>
    </xf>
    <xf numFmtId="0" fontId="8" fillId="6" borderId="27" xfId="0" applyFont="1" applyFill="1" applyBorder="1" applyAlignment="1">
      <alignment horizontal="center" vertical="center"/>
    </xf>
    <xf numFmtId="0" fontId="8" fillId="6" borderId="36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4" fillId="0" borderId="21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3" fillId="4" borderId="37" xfId="0" applyFont="1" applyFill="1" applyBorder="1" applyAlignment="1">
      <alignment horizontal="center" wrapText="1"/>
    </xf>
    <xf numFmtId="0" fontId="3" fillId="4" borderId="27" xfId="0" applyFont="1" applyFill="1" applyBorder="1" applyAlignment="1">
      <alignment horizontal="center" wrapText="1"/>
    </xf>
    <xf numFmtId="0" fontId="3" fillId="4" borderId="36" xfId="0" applyFont="1" applyFill="1" applyBorder="1" applyAlignment="1">
      <alignment horizontal="center" wrapText="1"/>
    </xf>
    <xf numFmtId="0" fontId="4" fillId="0" borderId="17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6" fillId="4" borderId="35" xfId="0" applyFont="1" applyFill="1" applyBorder="1" applyAlignment="1">
      <alignment horizontal="left" wrapText="1"/>
    </xf>
    <xf numFmtId="0" fontId="6" fillId="4" borderId="15" xfId="0" applyFont="1" applyFill="1" applyBorder="1" applyAlignment="1">
      <alignment horizontal="left" wrapText="1"/>
    </xf>
    <xf numFmtId="0" fontId="6" fillId="4" borderId="28" xfId="0" applyFont="1" applyFill="1" applyBorder="1" applyAlignment="1">
      <alignment horizontal="left" wrapText="1"/>
    </xf>
    <xf numFmtId="0" fontId="6" fillId="4" borderId="62" xfId="0" applyFont="1" applyFill="1" applyBorder="1" applyAlignment="1">
      <alignment horizontal="left" wrapText="1"/>
    </xf>
    <xf numFmtId="0" fontId="6" fillId="4" borderId="29" xfId="0" applyFont="1" applyFill="1" applyBorder="1" applyAlignment="1">
      <alignment horizontal="left" wrapText="1"/>
    </xf>
    <xf numFmtId="0" fontId="6" fillId="4" borderId="52" xfId="0" applyFont="1" applyFill="1" applyBorder="1" applyAlignment="1">
      <alignment horizontal="left" wrapText="1"/>
    </xf>
    <xf numFmtId="0" fontId="3" fillId="4" borderId="37" xfId="0" applyFont="1" applyFill="1" applyBorder="1" applyAlignment="1">
      <alignment horizontal="center"/>
    </xf>
    <xf numFmtId="0" fontId="3" fillId="4" borderId="27" xfId="0" applyFont="1" applyFill="1" applyBorder="1" applyAlignment="1">
      <alignment horizontal="center"/>
    </xf>
    <xf numFmtId="0" fontId="3" fillId="4" borderId="36" xfId="0" applyFont="1" applyFill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0" fontId="4" fillId="0" borderId="6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"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8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514600" y="102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247650</xdr:colOff>
      <xdr:row>21</xdr:row>
      <xdr:rowOff>76200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07F9BE-2970-4CF6-8203-B958ADF14915}"/>
            </a:ext>
          </a:extLst>
        </xdr:cNvPr>
        <xdr:cNvSpPr txBox="1"/>
      </xdr:nvSpPr>
      <xdr:spPr>
        <a:xfrm>
          <a:off x="2260600" y="147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28"/>
  <sheetViews>
    <sheetView showGridLines="0" workbookViewId="0">
      <selection activeCell="U12" sqref="U12"/>
    </sheetView>
  </sheetViews>
  <sheetFormatPr defaultColWidth="4.77734375" defaultRowHeight="14.4" x14ac:dyDescent="0.3"/>
  <cols>
    <col min="1" max="12" width="6.6640625" customWidth="1"/>
    <col min="13" max="13" width="7.44140625" customWidth="1"/>
    <col min="15" max="15" width="11.77734375" bestFit="1" customWidth="1"/>
    <col min="16" max="16" width="32.5546875" bestFit="1" customWidth="1"/>
    <col min="17" max="17" width="27.44140625" bestFit="1" customWidth="1"/>
  </cols>
  <sheetData>
    <row r="1" spans="1:17" s="6" customFormat="1" ht="18.600000000000001" thickBot="1" x14ac:dyDescent="0.4">
      <c r="A1" s="12" t="s">
        <v>96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53"/>
      <c r="M1" s="56"/>
    </row>
    <row r="2" spans="1:17" ht="19.2" thickTop="1" thickBot="1" x14ac:dyDescent="0.4">
      <c r="A2" s="48" t="s">
        <v>97</v>
      </c>
      <c r="B2" s="29">
        <f>COUNTIFS(A4:M27,"&gt;10",A4:M27,"&lt;99")</f>
        <v>26</v>
      </c>
      <c r="C2" s="29"/>
      <c r="D2" s="29"/>
      <c r="E2" s="28"/>
      <c r="F2" s="29"/>
      <c r="G2" s="28"/>
      <c r="H2" s="29"/>
      <c r="I2" s="29"/>
      <c r="J2" s="29"/>
      <c r="K2" s="29"/>
      <c r="L2" s="28"/>
      <c r="M2" s="65"/>
    </row>
    <row r="3" spans="1:17" ht="15.6" thickTop="1" thickBot="1" x14ac:dyDescent="0.35">
      <c r="A3" s="23"/>
      <c r="B3" s="43"/>
      <c r="C3" s="23"/>
      <c r="D3" s="23"/>
      <c r="E3" s="23"/>
      <c r="F3" s="23"/>
      <c r="G3" s="43"/>
      <c r="H3" s="43"/>
      <c r="I3" s="43"/>
      <c r="J3" s="23"/>
      <c r="K3" s="23"/>
      <c r="M3" s="23"/>
    </row>
    <row r="4" spans="1:17" ht="16.2" thickTop="1" x14ac:dyDescent="0.3">
      <c r="A4" s="62">
        <v>730</v>
      </c>
      <c r="B4" s="9">
        <v>640</v>
      </c>
      <c r="C4" s="61">
        <v>936</v>
      </c>
      <c r="D4" s="61">
        <v>30</v>
      </c>
      <c r="E4" s="61">
        <v>914</v>
      </c>
      <c r="F4" s="61">
        <v>786</v>
      </c>
      <c r="G4" s="9">
        <v>734</v>
      </c>
      <c r="H4" s="9">
        <v>329</v>
      </c>
      <c r="I4" s="9">
        <v>82</v>
      </c>
      <c r="J4" s="61">
        <v>672</v>
      </c>
      <c r="K4" s="61">
        <v>937</v>
      </c>
      <c r="L4" s="61">
        <v>563.76363636363601</v>
      </c>
      <c r="M4" s="61">
        <v>554.845454545454</v>
      </c>
      <c r="N4" s="26"/>
    </row>
    <row r="5" spans="1:17" ht="15.6" x14ac:dyDescent="0.3">
      <c r="A5" s="8">
        <v>250</v>
      </c>
      <c r="B5" s="9">
        <v>263</v>
      </c>
      <c r="C5" s="9">
        <v>462</v>
      </c>
      <c r="D5" s="9">
        <v>267</v>
      </c>
      <c r="E5" s="9">
        <v>291</v>
      </c>
      <c r="F5" s="9">
        <v>211</v>
      </c>
      <c r="G5" s="9">
        <v>920</v>
      </c>
      <c r="H5" s="9">
        <v>106</v>
      </c>
      <c r="I5" s="9">
        <v>682</v>
      </c>
      <c r="J5" s="9">
        <v>931</v>
      </c>
      <c r="K5" s="9">
        <v>367</v>
      </c>
      <c r="L5" s="9">
        <v>15</v>
      </c>
      <c r="M5" s="9">
        <v>303</v>
      </c>
      <c r="N5" s="26"/>
    </row>
    <row r="6" spans="1:17" ht="15.6" x14ac:dyDescent="0.3">
      <c r="A6" s="8">
        <v>148</v>
      </c>
      <c r="B6" s="9">
        <v>684</v>
      </c>
      <c r="C6" s="9">
        <v>981</v>
      </c>
      <c r="D6" s="9">
        <v>171</v>
      </c>
      <c r="E6" s="9">
        <v>943</v>
      </c>
      <c r="F6" s="9">
        <v>556</v>
      </c>
      <c r="G6" s="9">
        <v>972</v>
      </c>
      <c r="H6" s="9">
        <v>360</v>
      </c>
      <c r="I6" s="9">
        <v>201</v>
      </c>
      <c r="J6" s="9">
        <v>128</v>
      </c>
      <c r="K6" s="9">
        <v>959</v>
      </c>
      <c r="L6" s="9">
        <v>828</v>
      </c>
      <c r="M6" s="9">
        <v>396</v>
      </c>
      <c r="N6" s="26"/>
      <c r="P6" s="127" t="s">
        <v>149</v>
      </c>
      <c r="Q6" s="128" t="s">
        <v>150</v>
      </c>
    </row>
    <row r="7" spans="1:17" ht="15.6" x14ac:dyDescent="0.3">
      <c r="A7" s="8">
        <v>390</v>
      </c>
      <c r="B7" s="9">
        <v>195</v>
      </c>
      <c r="C7" s="9">
        <v>740</v>
      </c>
      <c r="D7" s="9">
        <v>146</v>
      </c>
      <c r="E7" s="9">
        <v>783</v>
      </c>
      <c r="F7" s="9">
        <v>713</v>
      </c>
      <c r="G7" s="9">
        <v>782</v>
      </c>
      <c r="H7" s="9">
        <v>248</v>
      </c>
      <c r="I7" s="9">
        <v>621</v>
      </c>
      <c r="J7" s="9">
        <v>418</v>
      </c>
      <c r="K7" s="9">
        <v>854</v>
      </c>
      <c r="L7" s="9">
        <v>558</v>
      </c>
      <c r="M7" s="64">
        <v>711</v>
      </c>
    </row>
    <row r="8" spans="1:17" ht="15.6" x14ac:dyDescent="0.3">
      <c r="A8" s="8">
        <v>15</v>
      </c>
      <c r="B8" s="9">
        <v>303</v>
      </c>
      <c r="C8" s="9">
        <v>2</v>
      </c>
      <c r="D8" s="9">
        <v>380</v>
      </c>
      <c r="E8" s="9">
        <v>829</v>
      </c>
      <c r="F8" s="9">
        <v>793</v>
      </c>
      <c r="G8" s="9">
        <v>973</v>
      </c>
      <c r="H8" s="9">
        <v>542</v>
      </c>
      <c r="I8" s="9">
        <v>551</v>
      </c>
      <c r="J8" s="9">
        <v>791</v>
      </c>
      <c r="K8" s="9">
        <v>989</v>
      </c>
      <c r="L8" s="9">
        <v>654</v>
      </c>
      <c r="M8" s="64">
        <v>160</v>
      </c>
    </row>
    <row r="9" spans="1:17" ht="15.6" x14ac:dyDescent="0.3">
      <c r="A9" s="8">
        <v>828</v>
      </c>
      <c r="B9" s="9">
        <v>396</v>
      </c>
      <c r="C9" s="9">
        <v>273</v>
      </c>
      <c r="D9" s="9">
        <v>805</v>
      </c>
      <c r="E9" s="9">
        <v>279</v>
      </c>
      <c r="F9" s="9">
        <v>828</v>
      </c>
      <c r="G9" s="9">
        <v>903</v>
      </c>
      <c r="H9" s="9">
        <v>694</v>
      </c>
      <c r="I9" s="9">
        <v>434</v>
      </c>
      <c r="J9" s="9">
        <v>515</v>
      </c>
      <c r="K9" s="9">
        <v>243</v>
      </c>
      <c r="L9" s="9">
        <v>677</v>
      </c>
      <c r="M9" s="64">
        <v>429</v>
      </c>
    </row>
    <row r="10" spans="1:17" ht="15.6" x14ac:dyDescent="0.3">
      <c r="A10" s="8">
        <v>558</v>
      </c>
      <c r="B10" s="9">
        <v>711</v>
      </c>
      <c r="C10" s="9">
        <v>442</v>
      </c>
      <c r="D10" s="9">
        <v>27</v>
      </c>
      <c r="E10" s="9">
        <v>257</v>
      </c>
      <c r="F10" s="9">
        <v>875</v>
      </c>
      <c r="G10" s="9">
        <v>880</v>
      </c>
      <c r="H10" s="9">
        <v>759</v>
      </c>
      <c r="I10" s="9">
        <v>886</v>
      </c>
      <c r="J10" s="9">
        <v>403</v>
      </c>
      <c r="K10" s="9">
        <v>291</v>
      </c>
      <c r="L10" s="9">
        <v>545</v>
      </c>
      <c r="M10" s="9">
        <v>934</v>
      </c>
      <c r="N10" s="26"/>
    </row>
    <row r="11" spans="1:17" ht="15.6" x14ac:dyDescent="0.3">
      <c r="A11" s="8">
        <v>654</v>
      </c>
      <c r="B11" s="9">
        <v>160</v>
      </c>
      <c r="C11" s="9">
        <v>595</v>
      </c>
      <c r="D11" s="9">
        <v>443</v>
      </c>
      <c r="E11" s="9">
        <v>985</v>
      </c>
      <c r="F11" s="9">
        <v>611</v>
      </c>
      <c r="G11" s="9">
        <v>221</v>
      </c>
      <c r="H11" s="9">
        <v>527</v>
      </c>
      <c r="I11" s="9">
        <v>116</v>
      </c>
      <c r="J11" s="9">
        <v>744</v>
      </c>
      <c r="K11" s="9">
        <v>754</v>
      </c>
      <c r="L11" s="9">
        <v>480</v>
      </c>
      <c r="M11" s="9">
        <v>93</v>
      </c>
      <c r="N11" s="26"/>
    </row>
    <row r="12" spans="1:17" ht="15.6" x14ac:dyDescent="0.3">
      <c r="A12" s="8">
        <v>677</v>
      </c>
      <c r="B12" s="9">
        <v>429</v>
      </c>
      <c r="C12" s="9">
        <v>19</v>
      </c>
      <c r="D12" s="9">
        <v>410</v>
      </c>
      <c r="E12" s="9">
        <v>687</v>
      </c>
      <c r="F12" s="9">
        <v>388</v>
      </c>
      <c r="G12" s="9">
        <v>890</v>
      </c>
      <c r="H12" s="9">
        <v>743</v>
      </c>
      <c r="I12" s="9">
        <v>593</v>
      </c>
      <c r="J12" s="9">
        <v>751</v>
      </c>
      <c r="K12" s="9">
        <v>109</v>
      </c>
      <c r="L12" s="9">
        <v>840</v>
      </c>
      <c r="M12" s="9">
        <v>775</v>
      </c>
      <c r="N12" s="26"/>
    </row>
    <row r="13" spans="1:17" ht="15.6" x14ac:dyDescent="0.3">
      <c r="A13" s="8">
        <v>545</v>
      </c>
      <c r="B13" s="9">
        <v>934</v>
      </c>
      <c r="C13" s="9">
        <v>38</v>
      </c>
      <c r="D13" s="9">
        <v>264</v>
      </c>
      <c r="E13" s="9">
        <v>701</v>
      </c>
      <c r="F13" s="9">
        <v>248</v>
      </c>
      <c r="G13" s="9">
        <v>644</v>
      </c>
      <c r="H13" s="9">
        <v>627</v>
      </c>
      <c r="I13" s="9">
        <v>762</v>
      </c>
      <c r="J13" s="9">
        <v>689</v>
      </c>
      <c r="K13" s="9">
        <v>452</v>
      </c>
      <c r="L13" s="9">
        <v>2</v>
      </c>
      <c r="M13" s="9">
        <v>380</v>
      </c>
      <c r="N13" s="26"/>
    </row>
    <row r="14" spans="1:17" ht="15.6" x14ac:dyDescent="0.3">
      <c r="A14" s="8">
        <v>480</v>
      </c>
      <c r="B14" s="9">
        <v>93</v>
      </c>
      <c r="C14" s="9">
        <v>765</v>
      </c>
      <c r="D14" s="9">
        <v>2</v>
      </c>
      <c r="E14" s="9">
        <v>219</v>
      </c>
      <c r="F14" s="9">
        <v>153</v>
      </c>
      <c r="G14" s="9">
        <v>333</v>
      </c>
      <c r="H14" s="9">
        <v>416</v>
      </c>
      <c r="I14" s="9">
        <v>756</v>
      </c>
      <c r="J14" s="9">
        <v>565</v>
      </c>
      <c r="K14" s="9">
        <v>6</v>
      </c>
      <c r="L14" s="9">
        <v>273</v>
      </c>
      <c r="M14" s="64">
        <v>805</v>
      </c>
    </row>
    <row r="15" spans="1:17" ht="15.6" x14ac:dyDescent="0.3">
      <c r="A15" s="8">
        <v>840</v>
      </c>
      <c r="B15" s="9">
        <v>775</v>
      </c>
      <c r="C15" s="9">
        <v>245</v>
      </c>
      <c r="D15" s="9">
        <v>773</v>
      </c>
      <c r="E15" s="9">
        <v>508</v>
      </c>
      <c r="F15" s="9">
        <v>501</v>
      </c>
      <c r="G15" s="9">
        <v>709</v>
      </c>
      <c r="H15" s="9">
        <v>149</v>
      </c>
      <c r="I15" s="9">
        <v>377</v>
      </c>
      <c r="J15" s="9">
        <v>893</v>
      </c>
      <c r="K15" s="9">
        <v>659</v>
      </c>
      <c r="L15" s="9">
        <v>442</v>
      </c>
      <c r="M15" s="9">
        <v>27</v>
      </c>
      <c r="N15" s="26"/>
    </row>
    <row r="16" spans="1:17" ht="15.6" x14ac:dyDescent="0.3">
      <c r="A16" s="8">
        <v>293</v>
      </c>
      <c r="B16" s="9">
        <v>416</v>
      </c>
      <c r="C16" s="9">
        <v>173</v>
      </c>
      <c r="D16" s="9">
        <v>588</v>
      </c>
      <c r="E16" s="9">
        <v>193</v>
      </c>
      <c r="F16" s="9">
        <v>30</v>
      </c>
      <c r="G16" s="9">
        <v>288</v>
      </c>
      <c r="H16" s="9">
        <v>257</v>
      </c>
      <c r="I16" s="9">
        <v>47</v>
      </c>
      <c r="J16" s="9">
        <v>111</v>
      </c>
      <c r="K16" s="9">
        <v>402</v>
      </c>
      <c r="L16" s="9">
        <v>595</v>
      </c>
      <c r="M16" s="64">
        <v>443</v>
      </c>
    </row>
    <row r="17" spans="1:14" ht="15.6" x14ac:dyDescent="0.3">
      <c r="A17" s="8">
        <v>448</v>
      </c>
      <c r="B17" s="9">
        <v>673</v>
      </c>
      <c r="C17" s="9">
        <v>744</v>
      </c>
      <c r="D17" s="9">
        <v>50</v>
      </c>
      <c r="E17" s="9">
        <v>612</v>
      </c>
      <c r="F17" s="9">
        <v>911</v>
      </c>
      <c r="G17" s="9">
        <v>353</v>
      </c>
      <c r="H17" s="9">
        <v>31</v>
      </c>
      <c r="I17" s="9">
        <v>368</v>
      </c>
      <c r="J17" s="9">
        <v>319</v>
      </c>
      <c r="K17" s="9">
        <v>716</v>
      </c>
      <c r="L17" s="9">
        <v>19</v>
      </c>
      <c r="M17" s="64">
        <v>410</v>
      </c>
    </row>
    <row r="18" spans="1:14" ht="15.6" x14ac:dyDescent="0.3">
      <c r="A18" s="8">
        <v>78</v>
      </c>
      <c r="B18" s="9">
        <v>501</v>
      </c>
      <c r="C18" s="9">
        <v>199</v>
      </c>
      <c r="D18" s="9">
        <v>207</v>
      </c>
      <c r="E18" s="9">
        <v>315</v>
      </c>
      <c r="F18" s="9">
        <v>152</v>
      </c>
      <c r="G18" s="9">
        <v>576</v>
      </c>
      <c r="H18" s="9">
        <v>399</v>
      </c>
      <c r="I18" s="9">
        <v>576</v>
      </c>
      <c r="J18" s="9">
        <v>766</v>
      </c>
      <c r="K18" s="9">
        <v>692</v>
      </c>
      <c r="L18" s="9">
        <v>38</v>
      </c>
      <c r="M18" s="64">
        <v>264</v>
      </c>
    </row>
    <row r="19" spans="1:14" ht="15.6" x14ac:dyDescent="0.3">
      <c r="A19" s="8">
        <v>513</v>
      </c>
      <c r="B19" s="9">
        <v>69</v>
      </c>
      <c r="C19" s="9">
        <v>340</v>
      </c>
      <c r="D19" s="9">
        <v>817</v>
      </c>
      <c r="E19" s="9">
        <v>915</v>
      </c>
      <c r="F19" s="9">
        <v>57</v>
      </c>
      <c r="G19" s="9">
        <v>623</v>
      </c>
      <c r="H19" s="9">
        <v>486</v>
      </c>
      <c r="I19" s="9">
        <v>288</v>
      </c>
      <c r="J19" s="9">
        <v>909</v>
      </c>
      <c r="K19" s="9">
        <v>327</v>
      </c>
      <c r="L19" s="9">
        <v>765</v>
      </c>
      <c r="M19" s="64">
        <v>2</v>
      </c>
    </row>
    <row r="20" spans="1:14" ht="15.6" x14ac:dyDescent="0.3">
      <c r="A20" s="8">
        <v>690</v>
      </c>
      <c r="B20" s="9">
        <v>167</v>
      </c>
      <c r="C20" s="9">
        <v>951</v>
      </c>
      <c r="D20" s="9">
        <v>618</v>
      </c>
      <c r="E20" s="9">
        <v>333</v>
      </c>
      <c r="F20" s="9">
        <v>591</v>
      </c>
      <c r="G20" s="9">
        <v>954</v>
      </c>
      <c r="H20" s="9">
        <v>625</v>
      </c>
      <c r="I20" s="9">
        <v>574</v>
      </c>
      <c r="J20" s="9">
        <v>539</v>
      </c>
      <c r="K20" s="9">
        <v>376</v>
      </c>
      <c r="L20" s="9">
        <v>245</v>
      </c>
      <c r="M20" s="64">
        <v>773</v>
      </c>
    </row>
    <row r="21" spans="1:14" ht="15.6" x14ac:dyDescent="0.3">
      <c r="A21" s="8">
        <v>340</v>
      </c>
      <c r="B21" s="9">
        <v>674</v>
      </c>
      <c r="C21" s="9">
        <v>649</v>
      </c>
      <c r="D21" s="9">
        <v>233</v>
      </c>
      <c r="E21" s="9">
        <v>175</v>
      </c>
      <c r="F21" s="9">
        <v>887</v>
      </c>
      <c r="G21" s="9">
        <v>467</v>
      </c>
      <c r="H21" s="9">
        <v>821</v>
      </c>
      <c r="I21" s="9">
        <v>663</v>
      </c>
      <c r="J21" s="9">
        <v>254</v>
      </c>
      <c r="K21" s="9">
        <v>806</v>
      </c>
      <c r="L21" s="9">
        <v>829</v>
      </c>
      <c r="M21" s="64">
        <v>793</v>
      </c>
    </row>
    <row r="22" spans="1:14" ht="15.6" x14ac:dyDescent="0.3">
      <c r="A22" s="8">
        <v>457</v>
      </c>
      <c r="B22" s="9">
        <v>339</v>
      </c>
      <c r="C22" s="9">
        <v>274</v>
      </c>
      <c r="D22" s="9">
        <v>954</v>
      </c>
      <c r="E22" s="9">
        <v>503</v>
      </c>
      <c r="F22" s="9">
        <v>798</v>
      </c>
      <c r="G22" s="9">
        <v>63</v>
      </c>
      <c r="H22" s="9">
        <v>874</v>
      </c>
      <c r="I22" s="9">
        <v>614</v>
      </c>
      <c r="J22" s="9">
        <v>774</v>
      </c>
      <c r="K22" s="9">
        <v>603</v>
      </c>
      <c r="L22" s="9">
        <v>279</v>
      </c>
      <c r="M22" s="64">
        <v>828</v>
      </c>
    </row>
    <row r="23" spans="1:14" ht="15.6" x14ac:dyDescent="0.3">
      <c r="A23" s="8">
        <v>367</v>
      </c>
      <c r="B23" s="9">
        <v>265</v>
      </c>
      <c r="C23" s="9">
        <v>843</v>
      </c>
      <c r="D23" s="9">
        <v>429</v>
      </c>
      <c r="E23" s="9">
        <v>297</v>
      </c>
      <c r="F23" s="9">
        <v>249</v>
      </c>
      <c r="G23" s="9">
        <v>742</v>
      </c>
      <c r="H23" s="9">
        <v>897</v>
      </c>
      <c r="I23" s="9">
        <v>494</v>
      </c>
      <c r="J23" s="9">
        <v>319</v>
      </c>
      <c r="K23" s="9">
        <v>837</v>
      </c>
      <c r="L23" s="9">
        <v>257</v>
      </c>
      <c r="M23" s="64">
        <v>875</v>
      </c>
    </row>
    <row r="24" spans="1:14" ht="15.6" x14ac:dyDescent="0.3">
      <c r="A24" s="8">
        <v>698</v>
      </c>
      <c r="B24" s="9">
        <v>808</v>
      </c>
      <c r="C24" s="9">
        <v>391</v>
      </c>
      <c r="D24" s="9">
        <v>526</v>
      </c>
      <c r="E24" s="9">
        <v>100</v>
      </c>
      <c r="F24" s="9">
        <v>716</v>
      </c>
      <c r="G24" s="9">
        <v>215</v>
      </c>
      <c r="H24" s="9">
        <v>217</v>
      </c>
      <c r="I24" s="9">
        <v>484</v>
      </c>
      <c r="J24" s="9">
        <v>413</v>
      </c>
      <c r="K24" s="9">
        <v>97</v>
      </c>
      <c r="L24" s="9">
        <v>985</v>
      </c>
      <c r="M24" s="9">
        <v>611</v>
      </c>
      <c r="N24" s="26"/>
    </row>
    <row r="25" spans="1:14" ht="15.6" x14ac:dyDescent="0.3">
      <c r="A25" s="8">
        <v>495</v>
      </c>
      <c r="B25" s="9">
        <v>157</v>
      </c>
      <c r="C25" s="9">
        <v>226</v>
      </c>
      <c r="D25" s="9">
        <v>394</v>
      </c>
      <c r="E25" s="9">
        <v>409</v>
      </c>
      <c r="F25" s="9">
        <v>604</v>
      </c>
      <c r="G25" s="9">
        <v>864</v>
      </c>
      <c r="H25" s="9">
        <v>42</v>
      </c>
      <c r="I25" s="9">
        <v>480</v>
      </c>
      <c r="J25" s="9">
        <v>482</v>
      </c>
      <c r="K25" s="9">
        <v>705</v>
      </c>
      <c r="L25" s="9">
        <v>687</v>
      </c>
      <c r="M25" s="9">
        <v>388</v>
      </c>
      <c r="N25" s="26"/>
    </row>
    <row r="26" spans="1:14" ht="15.6" x14ac:dyDescent="0.3">
      <c r="A26" s="8">
        <v>236</v>
      </c>
      <c r="B26" s="9">
        <v>636</v>
      </c>
      <c r="C26" s="9">
        <v>662</v>
      </c>
      <c r="D26" s="9">
        <v>40</v>
      </c>
      <c r="E26" s="9">
        <v>994</v>
      </c>
      <c r="F26" s="9">
        <v>390</v>
      </c>
      <c r="G26" s="9">
        <v>228</v>
      </c>
      <c r="H26" s="9">
        <v>654</v>
      </c>
      <c r="I26" s="9">
        <v>678</v>
      </c>
      <c r="J26" s="9">
        <v>76</v>
      </c>
      <c r="K26" s="9">
        <v>478</v>
      </c>
      <c r="L26" s="9">
        <v>701</v>
      </c>
      <c r="M26" s="9">
        <v>248</v>
      </c>
      <c r="N26" s="26"/>
    </row>
    <row r="27" spans="1:14" ht="16.2" thickBot="1" x14ac:dyDescent="0.35">
      <c r="A27" s="8">
        <v>485</v>
      </c>
      <c r="B27" s="9">
        <v>812</v>
      </c>
      <c r="C27" s="9">
        <v>84</v>
      </c>
      <c r="D27" s="9">
        <v>633</v>
      </c>
      <c r="E27" s="9">
        <v>639</v>
      </c>
      <c r="F27" s="9">
        <v>954</v>
      </c>
      <c r="G27" s="9">
        <v>79</v>
      </c>
      <c r="H27" s="63">
        <v>918</v>
      </c>
      <c r="I27" s="63">
        <v>3</v>
      </c>
      <c r="J27" s="63">
        <v>630</v>
      </c>
      <c r="K27" s="9">
        <v>948</v>
      </c>
      <c r="L27" s="9">
        <v>219</v>
      </c>
      <c r="M27" s="9">
        <v>153</v>
      </c>
      <c r="N27" s="26"/>
    </row>
    <row r="28" spans="1:14" ht="15" thickTop="1" x14ac:dyDescent="0.3">
      <c r="A28" s="23"/>
      <c r="B28" s="23"/>
      <c r="C28" s="23"/>
      <c r="D28" s="23"/>
      <c r="E28" s="23"/>
      <c r="F28" s="23"/>
      <c r="G28" s="23"/>
      <c r="K28" s="23"/>
      <c r="L28" s="23"/>
      <c r="M28" s="23"/>
    </row>
  </sheetData>
  <conditionalFormatting sqref="A4:M27 O21:R28 K28:M28">
    <cfRule type="expression" dxfId="0" priority="2" stopIfTrue="1">
      <formula>IF(AND($A$4:$K$27&gt;10, $A$4:$K$27&lt;100),1,0)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4"/>
  <sheetViews>
    <sheetView showGridLines="0" workbookViewId="0">
      <selection activeCell="C21" sqref="C21"/>
    </sheetView>
  </sheetViews>
  <sheetFormatPr defaultRowHeight="14.4" x14ac:dyDescent="0.3"/>
  <cols>
    <col min="1" max="1" width="8.77734375" customWidth="1"/>
    <col min="5" max="5" width="17.88671875" customWidth="1"/>
  </cols>
  <sheetData>
    <row r="1" spans="1:7" ht="18.600000000000001" thickBot="1" x14ac:dyDescent="0.4">
      <c r="A1" s="12" t="s">
        <v>98</v>
      </c>
      <c r="B1" s="53"/>
      <c r="C1" s="53"/>
      <c r="D1" s="13"/>
      <c r="E1" s="13"/>
      <c r="F1" s="14"/>
    </row>
    <row r="2" spans="1:7" ht="19.2" thickTop="1" thickBot="1" x14ac:dyDescent="0.4">
      <c r="A2" s="51" t="s">
        <v>97</v>
      </c>
      <c r="B2" s="60">
        <f>COUNTIF(A4:F10,"??")</f>
        <v>24</v>
      </c>
      <c r="C2" s="60"/>
      <c r="D2" s="28"/>
      <c r="E2" s="28"/>
      <c r="F2" s="49"/>
      <c r="G2" s="26"/>
    </row>
    <row r="3" spans="1:7" ht="15.6" thickTop="1" thickBot="1" x14ac:dyDescent="0.35">
      <c r="C3" s="43"/>
      <c r="D3" s="23"/>
      <c r="E3" s="43"/>
      <c r="F3" s="43"/>
    </row>
    <row r="4" spans="1:7" ht="16.2" thickTop="1" x14ac:dyDescent="0.3">
      <c r="A4" s="62" t="s">
        <v>10</v>
      </c>
      <c r="B4" s="61" t="s">
        <v>1</v>
      </c>
      <c r="C4" s="9" t="s">
        <v>13</v>
      </c>
      <c r="D4" s="61" t="s">
        <v>25</v>
      </c>
      <c r="E4" s="9" t="s">
        <v>11</v>
      </c>
      <c r="F4" s="9" t="s">
        <v>107</v>
      </c>
      <c r="G4" s="26"/>
    </row>
    <row r="5" spans="1:7" ht="15.6" x14ac:dyDescent="0.3">
      <c r="A5" s="8" t="s">
        <v>11</v>
      </c>
      <c r="B5" s="9" t="s">
        <v>12</v>
      </c>
      <c r="C5" s="9" t="s">
        <v>14</v>
      </c>
      <c r="D5" s="9" t="s">
        <v>22</v>
      </c>
      <c r="E5" s="9" t="s">
        <v>11</v>
      </c>
      <c r="F5" s="9" t="s">
        <v>106</v>
      </c>
      <c r="G5" s="26"/>
    </row>
    <row r="6" spans="1:7" ht="15.6" x14ac:dyDescent="0.3">
      <c r="A6" s="8" t="s">
        <v>15</v>
      </c>
      <c r="B6" s="9" t="s">
        <v>16</v>
      </c>
      <c r="C6" s="9" t="s">
        <v>17</v>
      </c>
      <c r="D6" s="9" t="s">
        <v>26</v>
      </c>
      <c r="E6" s="9" t="s">
        <v>99</v>
      </c>
      <c r="F6" s="9" t="s">
        <v>16</v>
      </c>
      <c r="G6" s="26"/>
    </row>
    <row r="7" spans="1:7" ht="15.6" x14ac:dyDescent="0.3">
      <c r="A7" s="8" t="s">
        <v>18</v>
      </c>
      <c r="B7" s="9" t="s">
        <v>19</v>
      </c>
      <c r="C7" s="9" t="s">
        <v>19</v>
      </c>
      <c r="D7" s="9" t="s">
        <v>26</v>
      </c>
      <c r="E7" s="9" t="s">
        <v>18</v>
      </c>
      <c r="F7" s="9" t="s">
        <v>102</v>
      </c>
      <c r="G7" s="26"/>
    </row>
    <row r="8" spans="1:7" ht="15.6" x14ac:dyDescent="0.3">
      <c r="A8" s="8" t="s">
        <v>20</v>
      </c>
      <c r="B8" s="9" t="s">
        <v>21</v>
      </c>
      <c r="C8" s="9" t="s">
        <v>22</v>
      </c>
      <c r="D8" s="9" t="s">
        <v>27</v>
      </c>
      <c r="E8" s="9" t="s">
        <v>100</v>
      </c>
      <c r="F8" s="64" t="s">
        <v>103</v>
      </c>
    </row>
    <row r="9" spans="1:7" ht="15.6" x14ac:dyDescent="0.3">
      <c r="A9" s="8" t="s">
        <v>23</v>
      </c>
      <c r="B9" s="9" t="s">
        <v>21</v>
      </c>
      <c r="C9" s="9" t="s">
        <v>24</v>
      </c>
      <c r="D9" s="9" t="s">
        <v>24</v>
      </c>
      <c r="E9" s="9" t="s">
        <v>23</v>
      </c>
      <c r="F9" s="9" t="s">
        <v>104</v>
      </c>
      <c r="G9" s="26"/>
    </row>
    <row r="10" spans="1:7" ht="16.2" thickBot="1" x14ac:dyDescent="0.35">
      <c r="A10" s="8" t="s">
        <v>23</v>
      </c>
      <c r="B10" s="63" t="s">
        <v>23</v>
      </c>
      <c r="C10" s="63" t="s">
        <v>24</v>
      </c>
      <c r="D10" s="63" t="s">
        <v>28</v>
      </c>
      <c r="E10" s="9" t="s">
        <v>101</v>
      </c>
      <c r="F10" s="9" t="s">
        <v>105</v>
      </c>
      <c r="G10" s="26"/>
    </row>
    <row r="11" spans="1:7" ht="15" thickTop="1" x14ac:dyDescent="0.3">
      <c r="A11" s="23"/>
      <c r="E11" s="23"/>
      <c r="F11" s="23"/>
    </row>
    <row r="14" spans="1:7" x14ac:dyDescent="0.3">
      <c r="B14" s="132" t="s">
        <v>151</v>
      </c>
      <c r="C14" s="132"/>
      <c r="D14" s="132"/>
      <c r="E14" s="132"/>
    </row>
  </sheetData>
  <mergeCells count="1">
    <mergeCell ref="B14:E14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10"/>
  <sheetViews>
    <sheetView showGridLines="0" workbookViewId="0">
      <selection activeCell="B10" sqref="B10"/>
    </sheetView>
  </sheetViews>
  <sheetFormatPr defaultRowHeight="14.4" x14ac:dyDescent="0.3"/>
  <cols>
    <col min="1" max="1" width="8.77734375" customWidth="1"/>
  </cols>
  <sheetData>
    <row r="1" spans="1:10" ht="18.600000000000001" thickBot="1" x14ac:dyDescent="0.4">
      <c r="A1" s="55" t="s">
        <v>108</v>
      </c>
      <c r="B1" s="53"/>
      <c r="C1" s="13"/>
      <c r="D1" s="53"/>
      <c r="E1" s="13"/>
      <c r="F1" s="53"/>
      <c r="G1" s="53"/>
      <c r="H1" s="13"/>
      <c r="I1" s="56"/>
    </row>
    <row r="2" spans="1:10" ht="15.6" thickTop="1" thickBot="1" x14ac:dyDescent="0.35">
      <c r="A2" s="54"/>
      <c r="B2" s="3"/>
      <c r="C2" s="50"/>
      <c r="D2" s="3"/>
      <c r="E2" s="52"/>
      <c r="F2" s="3"/>
      <c r="G2" s="3"/>
      <c r="H2" s="50"/>
    </row>
    <row r="3" spans="1:10" ht="19.2" thickTop="1" thickBot="1" x14ac:dyDescent="0.4">
      <c r="A3" s="10" t="s">
        <v>109</v>
      </c>
      <c r="B3" s="13"/>
      <c r="C3" s="53"/>
      <c r="D3" s="13"/>
      <c r="E3" s="40"/>
      <c r="F3" s="53"/>
      <c r="G3" s="13"/>
      <c r="H3" s="53"/>
      <c r="I3" s="57"/>
    </row>
    <row r="4" spans="1:10" ht="15.6" thickTop="1" thickBot="1" x14ac:dyDescent="0.35">
      <c r="A4" s="52"/>
      <c r="B4" s="52"/>
      <c r="C4" s="3"/>
      <c r="D4" s="52"/>
      <c r="E4" s="52"/>
      <c r="F4" s="54"/>
      <c r="G4" s="52"/>
      <c r="H4" s="3"/>
      <c r="I4" s="43"/>
    </row>
    <row r="5" spans="1:10" ht="19.2" thickTop="1" thickBot="1" x14ac:dyDescent="0.4">
      <c r="A5" s="51" t="s">
        <v>97</v>
      </c>
      <c r="B5" s="28">
        <f>LEN(A3)-LEN(SUBSTITUTE(A3," ",""))</f>
        <v>10</v>
      </c>
      <c r="C5" s="29"/>
      <c r="D5" s="29"/>
      <c r="E5" s="28"/>
      <c r="F5" s="28"/>
      <c r="G5" s="28"/>
      <c r="H5" s="29"/>
      <c r="I5" s="30"/>
      <c r="J5" s="26"/>
    </row>
    <row r="6" spans="1:10" ht="15.6" thickTop="1" thickBot="1" x14ac:dyDescent="0.35">
      <c r="A6" s="3"/>
      <c r="B6" s="52"/>
      <c r="C6" s="58"/>
      <c r="D6" s="50"/>
      <c r="E6" s="3"/>
      <c r="F6" s="52"/>
      <c r="G6" s="3"/>
      <c r="H6" s="58"/>
      <c r="I6" s="23"/>
    </row>
    <row r="7" spans="1:10" ht="19.2" thickTop="1" thickBot="1" x14ac:dyDescent="0.4">
      <c r="A7" s="39" t="s">
        <v>110</v>
      </c>
      <c r="B7" s="11"/>
      <c r="C7" s="40"/>
      <c r="D7" s="13"/>
      <c r="E7" s="13"/>
      <c r="F7" s="11"/>
      <c r="G7" s="13"/>
      <c r="H7" s="40"/>
      <c r="I7" s="59"/>
    </row>
    <row r="8" spans="1:10" ht="15.6" thickTop="1" thickBot="1" x14ac:dyDescent="0.35">
      <c r="A8" s="43"/>
      <c r="B8" s="43"/>
      <c r="C8" s="43"/>
      <c r="D8" s="43"/>
      <c r="E8" s="43"/>
      <c r="F8" s="43"/>
      <c r="G8" s="43"/>
      <c r="H8" s="43"/>
      <c r="I8" s="43"/>
    </row>
    <row r="9" spans="1:10" ht="19.2" thickTop="1" thickBot="1" x14ac:dyDescent="0.4">
      <c r="A9" s="48" t="s">
        <v>97</v>
      </c>
      <c r="B9" s="28">
        <f>LEN(SUBSTITUTE(A3," ",""))</f>
        <v>48</v>
      </c>
      <c r="C9" s="29"/>
      <c r="D9" s="29"/>
      <c r="E9" s="29"/>
      <c r="F9" s="29"/>
      <c r="G9" s="29"/>
      <c r="H9" s="28"/>
      <c r="I9" s="49"/>
    </row>
    <row r="10" spans="1:10" ht="15" thickTop="1" x14ac:dyDescent="0.3">
      <c r="A10" s="23"/>
      <c r="C10" s="23"/>
      <c r="D10" s="23"/>
      <c r="E10" s="23"/>
      <c r="F10" s="23"/>
      <c r="G10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40"/>
  <sheetViews>
    <sheetView showGridLines="0" workbookViewId="0">
      <selection activeCell="D3" sqref="D3:L3"/>
    </sheetView>
  </sheetViews>
  <sheetFormatPr defaultRowHeight="14.4" x14ac:dyDescent="0.3"/>
  <cols>
    <col min="2" max="2" width="9.33203125" customWidth="1"/>
    <col min="3" max="3" width="9.44140625" customWidth="1"/>
    <col min="4" max="4" width="7.5546875" customWidth="1"/>
    <col min="5" max="5" width="8.5546875" customWidth="1"/>
    <col min="6" max="6" width="11.77734375" bestFit="1" customWidth="1"/>
    <col min="7" max="7" width="10.21875" bestFit="1" customWidth="1"/>
    <col min="13" max="13" width="0" hidden="1" customWidth="1"/>
    <col min="16" max="16" width="14.44140625" customWidth="1"/>
  </cols>
  <sheetData>
    <row r="1" spans="1:16" ht="19.05" customHeight="1" thickBot="1" x14ac:dyDescent="0.4">
      <c r="A1" s="10" t="s">
        <v>116</v>
      </c>
      <c r="B1" s="44"/>
      <c r="C1" s="44"/>
      <c r="D1" s="11"/>
      <c r="E1" s="11"/>
      <c r="F1" s="11"/>
      <c r="G1" s="11"/>
      <c r="H1" s="11"/>
      <c r="I1" s="11"/>
      <c r="J1" s="11"/>
      <c r="K1" s="11"/>
      <c r="L1" s="11"/>
      <c r="M1">
        <v>1</v>
      </c>
      <c r="N1" s="38"/>
      <c r="O1" s="15" t="s">
        <v>9</v>
      </c>
      <c r="P1" s="15" t="s">
        <v>0</v>
      </c>
    </row>
    <row r="2" spans="1:16" ht="18.45" customHeight="1" thickTop="1" thickBot="1" x14ac:dyDescent="0.4">
      <c r="A2" s="136" t="s">
        <v>97</v>
      </c>
      <c r="B2" s="66" t="s">
        <v>111</v>
      </c>
      <c r="C2" s="42" t="s">
        <v>29</v>
      </c>
      <c r="D2" s="133" t="s">
        <v>114</v>
      </c>
      <c r="E2" s="134"/>
      <c r="F2" s="134"/>
      <c r="G2" s="134"/>
      <c r="H2" s="134"/>
      <c r="I2" s="134"/>
      <c r="J2" s="134"/>
      <c r="K2" s="134"/>
      <c r="L2" s="135"/>
      <c r="O2" s="16" t="s">
        <v>1</v>
      </c>
      <c r="P2" s="17">
        <v>40825</v>
      </c>
    </row>
    <row r="3" spans="1:16" ht="18.45" customHeight="1" thickTop="1" thickBot="1" x14ac:dyDescent="0.4">
      <c r="A3" s="137"/>
      <c r="B3" s="67">
        <v>12</v>
      </c>
      <c r="C3" s="70" t="s">
        <v>71</v>
      </c>
      <c r="D3" s="138">
        <f>COUNTIFS(P2:P440,"&gt;2012",O2:O440,"d")</f>
        <v>55</v>
      </c>
      <c r="E3" s="139"/>
      <c r="F3" s="139"/>
      <c r="G3" s="139"/>
      <c r="H3" s="139"/>
      <c r="I3" s="139"/>
      <c r="J3" s="139"/>
      <c r="K3" s="139"/>
      <c r="L3" s="141"/>
      <c r="O3" s="16" t="s">
        <v>2</v>
      </c>
      <c r="P3" s="17">
        <v>40826</v>
      </c>
    </row>
    <row r="4" spans="1:16" ht="16.8" thickTop="1" thickBot="1" x14ac:dyDescent="0.35">
      <c r="A4" s="43"/>
      <c r="E4" s="43"/>
      <c r="F4" s="43"/>
      <c r="G4" s="43"/>
      <c r="I4" s="43"/>
      <c r="J4" s="31"/>
      <c r="K4" s="43"/>
      <c r="L4" s="43"/>
      <c r="O4" s="16" t="s">
        <v>3</v>
      </c>
      <c r="P4" s="17">
        <v>40827</v>
      </c>
    </row>
    <row r="5" spans="1:16" ht="19.2" thickTop="1" thickBot="1" x14ac:dyDescent="0.4">
      <c r="A5" s="39" t="s">
        <v>112</v>
      </c>
      <c r="B5" s="40"/>
      <c r="C5" s="41"/>
      <c r="D5" s="40"/>
      <c r="E5" s="40"/>
      <c r="F5" s="40"/>
      <c r="G5" s="40"/>
      <c r="H5" s="40"/>
      <c r="I5" s="11"/>
      <c r="J5" s="11"/>
      <c r="K5" s="40"/>
      <c r="L5" s="11"/>
      <c r="M5">
        <v>2</v>
      </c>
      <c r="N5" s="38"/>
      <c r="O5" s="16" t="s">
        <v>4</v>
      </c>
      <c r="P5" s="17">
        <v>40828</v>
      </c>
    </row>
    <row r="6" spans="1:16" ht="19.2" thickTop="1" thickBot="1" x14ac:dyDescent="0.4">
      <c r="A6" s="136" t="s">
        <v>97</v>
      </c>
      <c r="B6" s="46" t="s">
        <v>113</v>
      </c>
      <c r="C6" s="66" t="s">
        <v>29</v>
      </c>
      <c r="D6" s="133" t="s">
        <v>114</v>
      </c>
      <c r="E6" s="134"/>
      <c r="F6" s="134"/>
      <c r="G6" s="134"/>
      <c r="H6" s="134"/>
      <c r="I6" s="134"/>
      <c r="J6" s="134"/>
      <c r="K6" s="134"/>
      <c r="L6" s="135"/>
      <c r="M6">
        <v>3</v>
      </c>
      <c r="O6" s="16" t="s">
        <v>5</v>
      </c>
      <c r="P6" s="17">
        <v>40829</v>
      </c>
    </row>
    <row r="7" spans="1:16" ht="19.2" thickTop="1" thickBot="1" x14ac:dyDescent="0.4">
      <c r="A7" s="137"/>
      <c r="B7" s="67">
        <v>2011</v>
      </c>
      <c r="C7" s="68" t="s">
        <v>1</v>
      </c>
      <c r="D7" s="138">
        <f>COUNTIFS(P2:P440,"&gt;2011",O2:O440,"A")</f>
        <v>55</v>
      </c>
      <c r="E7" s="139"/>
      <c r="F7" s="139"/>
      <c r="G7" s="139"/>
      <c r="H7" s="139"/>
      <c r="I7" s="139"/>
      <c r="J7" s="139"/>
      <c r="K7" s="139"/>
      <c r="L7" s="140"/>
      <c r="M7">
        <v>4</v>
      </c>
      <c r="N7" s="38"/>
      <c r="O7" s="16" t="s">
        <v>6</v>
      </c>
      <c r="P7" s="17">
        <v>40830</v>
      </c>
    </row>
    <row r="8" spans="1:16" ht="16.2" thickTop="1" x14ac:dyDescent="0.3">
      <c r="A8" s="23"/>
      <c r="B8" s="23"/>
      <c r="C8" s="23"/>
      <c r="D8" s="23"/>
      <c r="F8" s="23"/>
      <c r="K8" s="23"/>
      <c r="L8" s="23"/>
      <c r="M8">
        <v>5</v>
      </c>
      <c r="O8" s="16" t="s">
        <v>7</v>
      </c>
      <c r="P8" s="17">
        <v>40831</v>
      </c>
    </row>
    <row r="9" spans="1:16" ht="15.6" x14ac:dyDescent="0.3">
      <c r="M9">
        <v>6</v>
      </c>
      <c r="O9" s="16" t="s">
        <v>8</v>
      </c>
      <c r="P9" s="17">
        <v>40832</v>
      </c>
    </row>
    <row r="10" spans="1:16" ht="15.6" x14ac:dyDescent="0.3">
      <c r="M10">
        <v>7</v>
      </c>
      <c r="O10" s="16" t="s">
        <v>1</v>
      </c>
      <c r="P10" s="17">
        <v>40833</v>
      </c>
    </row>
    <row r="11" spans="1:16" ht="16.2" thickBot="1" x14ac:dyDescent="0.35">
      <c r="E11" s="47"/>
      <c r="M11">
        <v>8</v>
      </c>
      <c r="O11" s="16" t="s">
        <v>2</v>
      </c>
      <c r="P11" s="17">
        <v>40834</v>
      </c>
    </row>
    <row r="12" spans="1:16" ht="16.2" thickTop="1" x14ac:dyDescent="0.3">
      <c r="M12">
        <v>9</v>
      </c>
      <c r="O12" s="16" t="s">
        <v>3</v>
      </c>
      <c r="P12" s="17">
        <v>40835</v>
      </c>
    </row>
    <row r="13" spans="1:16" ht="15.6" x14ac:dyDescent="0.3">
      <c r="M13">
        <v>10</v>
      </c>
      <c r="O13" s="16" t="s">
        <v>4</v>
      </c>
      <c r="P13" s="17">
        <v>40836</v>
      </c>
    </row>
    <row r="14" spans="1:16" ht="15.6" x14ac:dyDescent="0.3">
      <c r="M14">
        <v>11</v>
      </c>
      <c r="O14" s="16" t="s">
        <v>5</v>
      </c>
      <c r="P14" s="17">
        <v>40837</v>
      </c>
    </row>
    <row r="15" spans="1:16" ht="15.6" x14ac:dyDescent="0.3">
      <c r="M15">
        <v>12</v>
      </c>
      <c r="O15" s="16" t="s">
        <v>6</v>
      </c>
      <c r="P15" s="17">
        <v>40838</v>
      </c>
    </row>
    <row r="16" spans="1:16" ht="15.6" x14ac:dyDescent="0.3">
      <c r="O16" s="16" t="s">
        <v>7</v>
      </c>
      <c r="P16" s="17">
        <v>40839</v>
      </c>
    </row>
    <row r="17" spans="15:16" ht="15.6" x14ac:dyDescent="0.3">
      <c r="O17" s="16" t="s">
        <v>8</v>
      </c>
      <c r="P17" s="17">
        <v>40840</v>
      </c>
    </row>
    <row r="18" spans="15:16" ht="15.6" x14ac:dyDescent="0.3">
      <c r="O18" s="16" t="s">
        <v>1</v>
      </c>
      <c r="P18" s="17">
        <v>40841</v>
      </c>
    </row>
    <row r="19" spans="15:16" ht="15.6" x14ac:dyDescent="0.3">
      <c r="O19" s="16" t="s">
        <v>2</v>
      </c>
      <c r="P19" s="17">
        <v>40842</v>
      </c>
    </row>
    <row r="20" spans="15:16" ht="15.6" x14ac:dyDescent="0.3">
      <c r="O20" s="16" t="s">
        <v>3</v>
      </c>
      <c r="P20" s="17">
        <v>40843</v>
      </c>
    </row>
    <row r="21" spans="15:16" ht="15.6" x14ac:dyDescent="0.3">
      <c r="O21" s="16" t="s">
        <v>4</v>
      </c>
      <c r="P21" s="17">
        <v>40844</v>
      </c>
    </row>
    <row r="22" spans="15:16" ht="15.6" x14ac:dyDescent="0.3">
      <c r="O22" s="16" t="s">
        <v>5</v>
      </c>
      <c r="P22" s="17">
        <v>40845</v>
      </c>
    </row>
    <row r="23" spans="15:16" ht="15.6" x14ac:dyDescent="0.3">
      <c r="O23" s="16" t="s">
        <v>6</v>
      </c>
      <c r="P23" s="17">
        <v>40846</v>
      </c>
    </row>
    <row r="24" spans="15:16" ht="15.6" x14ac:dyDescent="0.3">
      <c r="O24" s="16" t="s">
        <v>7</v>
      </c>
      <c r="P24" s="17">
        <v>40847</v>
      </c>
    </row>
    <row r="25" spans="15:16" ht="15.6" x14ac:dyDescent="0.3">
      <c r="O25" s="16" t="s">
        <v>8</v>
      </c>
      <c r="P25" s="17">
        <v>40848</v>
      </c>
    </row>
    <row r="26" spans="15:16" ht="15.6" x14ac:dyDescent="0.3">
      <c r="O26" s="16" t="s">
        <v>1</v>
      </c>
      <c r="P26" s="17">
        <v>40849</v>
      </c>
    </row>
    <row r="27" spans="15:16" ht="15.6" x14ac:dyDescent="0.3">
      <c r="O27" s="16" t="s">
        <v>2</v>
      </c>
      <c r="P27" s="17">
        <v>40850</v>
      </c>
    </row>
    <row r="28" spans="15:16" ht="15.6" x14ac:dyDescent="0.3">
      <c r="O28" s="16" t="s">
        <v>3</v>
      </c>
      <c r="P28" s="17">
        <v>40851</v>
      </c>
    </row>
    <row r="29" spans="15:16" ht="15.6" x14ac:dyDescent="0.3">
      <c r="O29" s="16" t="s">
        <v>4</v>
      </c>
      <c r="P29" s="17">
        <v>40852</v>
      </c>
    </row>
    <row r="30" spans="15:16" ht="15.6" x14ac:dyDescent="0.3">
      <c r="O30" s="16" t="s">
        <v>5</v>
      </c>
      <c r="P30" s="17">
        <v>40853</v>
      </c>
    </row>
    <row r="31" spans="15:16" ht="15.6" x14ac:dyDescent="0.3">
      <c r="O31" s="16" t="s">
        <v>6</v>
      </c>
      <c r="P31" s="17">
        <v>40854</v>
      </c>
    </row>
    <row r="32" spans="15:16" ht="15.6" x14ac:dyDescent="0.3">
      <c r="O32" s="16" t="s">
        <v>7</v>
      </c>
      <c r="P32" s="17">
        <v>40855</v>
      </c>
    </row>
    <row r="33" spans="15:16" ht="15.6" x14ac:dyDescent="0.3">
      <c r="O33" s="16" t="s">
        <v>8</v>
      </c>
      <c r="P33" s="17">
        <v>40856</v>
      </c>
    </row>
    <row r="34" spans="15:16" ht="15.6" x14ac:dyDescent="0.3">
      <c r="O34" s="16" t="s">
        <v>1</v>
      </c>
      <c r="P34" s="17">
        <v>40857</v>
      </c>
    </row>
    <row r="35" spans="15:16" ht="15.6" x14ac:dyDescent="0.3">
      <c r="O35" s="16" t="s">
        <v>2</v>
      </c>
      <c r="P35" s="17">
        <v>40858</v>
      </c>
    </row>
    <row r="36" spans="15:16" ht="15.6" x14ac:dyDescent="0.3">
      <c r="O36" s="16" t="s">
        <v>3</v>
      </c>
      <c r="P36" s="17">
        <v>40859</v>
      </c>
    </row>
    <row r="37" spans="15:16" ht="15.6" x14ac:dyDescent="0.3">
      <c r="O37" s="16" t="s">
        <v>4</v>
      </c>
      <c r="P37" s="17">
        <v>40860</v>
      </c>
    </row>
    <row r="38" spans="15:16" ht="15.6" x14ac:dyDescent="0.3">
      <c r="O38" s="16" t="s">
        <v>5</v>
      </c>
      <c r="P38" s="17">
        <v>40861</v>
      </c>
    </row>
    <row r="39" spans="15:16" ht="15.6" x14ac:dyDescent="0.3">
      <c r="O39" s="16" t="s">
        <v>6</v>
      </c>
      <c r="P39" s="17">
        <v>40862</v>
      </c>
    </row>
    <row r="40" spans="15:16" ht="15.6" x14ac:dyDescent="0.3">
      <c r="O40" s="16" t="s">
        <v>7</v>
      </c>
      <c r="P40" s="17">
        <v>40863</v>
      </c>
    </row>
    <row r="41" spans="15:16" ht="15.6" x14ac:dyDescent="0.3">
      <c r="O41" s="16" t="s">
        <v>8</v>
      </c>
      <c r="P41" s="17">
        <v>40864</v>
      </c>
    </row>
    <row r="42" spans="15:16" ht="15.6" x14ac:dyDescent="0.3">
      <c r="O42" s="16" t="s">
        <v>1</v>
      </c>
      <c r="P42" s="17">
        <v>40865</v>
      </c>
    </row>
    <row r="43" spans="15:16" ht="15.6" x14ac:dyDescent="0.3">
      <c r="O43" s="16" t="s">
        <v>2</v>
      </c>
      <c r="P43" s="17">
        <v>40866</v>
      </c>
    </row>
    <row r="44" spans="15:16" ht="15.6" x14ac:dyDescent="0.3">
      <c r="O44" s="16" t="s">
        <v>3</v>
      </c>
      <c r="P44" s="17">
        <v>40867</v>
      </c>
    </row>
    <row r="45" spans="15:16" ht="15.6" x14ac:dyDescent="0.3">
      <c r="O45" s="16" t="s">
        <v>4</v>
      </c>
      <c r="P45" s="17">
        <v>40868</v>
      </c>
    </row>
    <row r="46" spans="15:16" ht="15.6" x14ac:dyDescent="0.3">
      <c r="O46" s="16" t="s">
        <v>5</v>
      </c>
      <c r="P46" s="17">
        <v>40869</v>
      </c>
    </row>
    <row r="47" spans="15:16" ht="15.6" x14ac:dyDescent="0.3">
      <c r="O47" s="16" t="s">
        <v>6</v>
      </c>
      <c r="P47" s="17">
        <v>40870</v>
      </c>
    </row>
    <row r="48" spans="15:16" ht="15.6" x14ac:dyDescent="0.3">
      <c r="O48" s="16" t="s">
        <v>7</v>
      </c>
      <c r="P48" s="17">
        <v>40871</v>
      </c>
    </row>
    <row r="49" spans="15:16" ht="15.6" x14ac:dyDescent="0.3">
      <c r="O49" s="16" t="s">
        <v>8</v>
      </c>
      <c r="P49" s="17">
        <v>40872</v>
      </c>
    </row>
    <row r="50" spans="15:16" ht="15.6" x14ac:dyDescent="0.3">
      <c r="O50" s="16" t="s">
        <v>1</v>
      </c>
      <c r="P50" s="17">
        <v>40873</v>
      </c>
    </row>
    <row r="51" spans="15:16" ht="15.6" x14ac:dyDescent="0.3">
      <c r="O51" s="16" t="s">
        <v>2</v>
      </c>
      <c r="P51" s="17">
        <v>40874</v>
      </c>
    </row>
    <row r="52" spans="15:16" ht="15.6" x14ac:dyDescent="0.3">
      <c r="O52" s="16" t="s">
        <v>3</v>
      </c>
      <c r="P52" s="17">
        <v>40875</v>
      </c>
    </row>
    <row r="53" spans="15:16" ht="15.6" x14ac:dyDescent="0.3">
      <c r="O53" s="16" t="s">
        <v>4</v>
      </c>
      <c r="P53" s="17">
        <v>40876</v>
      </c>
    </row>
    <row r="54" spans="15:16" ht="15.6" x14ac:dyDescent="0.3">
      <c r="O54" s="16" t="s">
        <v>5</v>
      </c>
      <c r="P54" s="17">
        <v>40877</v>
      </c>
    </row>
    <row r="55" spans="15:16" ht="15.6" x14ac:dyDescent="0.3">
      <c r="O55" s="16" t="s">
        <v>6</v>
      </c>
      <c r="P55" s="17">
        <v>40878</v>
      </c>
    </row>
    <row r="56" spans="15:16" ht="15.6" x14ac:dyDescent="0.3">
      <c r="O56" s="16" t="s">
        <v>7</v>
      </c>
      <c r="P56" s="17">
        <v>40879</v>
      </c>
    </row>
    <row r="57" spans="15:16" ht="15.6" x14ac:dyDescent="0.3">
      <c r="O57" s="16" t="s">
        <v>8</v>
      </c>
      <c r="P57" s="17">
        <v>40880</v>
      </c>
    </row>
    <row r="58" spans="15:16" ht="15.6" x14ac:dyDescent="0.3">
      <c r="O58" s="16" t="s">
        <v>1</v>
      </c>
      <c r="P58" s="17">
        <v>40881</v>
      </c>
    </row>
    <row r="59" spans="15:16" ht="15.6" x14ac:dyDescent="0.3">
      <c r="O59" s="16" t="s">
        <v>2</v>
      </c>
      <c r="P59" s="17">
        <v>40882</v>
      </c>
    </row>
    <row r="60" spans="15:16" ht="15.6" x14ac:dyDescent="0.3">
      <c r="O60" s="16" t="s">
        <v>3</v>
      </c>
      <c r="P60" s="17">
        <v>40883</v>
      </c>
    </row>
    <row r="61" spans="15:16" ht="15.6" x14ac:dyDescent="0.3">
      <c r="O61" s="16" t="s">
        <v>4</v>
      </c>
      <c r="P61" s="17">
        <v>40884</v>
      </c>
    </row>
    <row r="62" spans="15:16" ht="15.6" x14ac:dyDescent="0.3">
      <c r="O62" s="16" t="s">
        <v>5</v>
      </c>
      <c r="P62" s="17">
        <v>40885</v>
      </c>
    </row>
    <row r="63" spans="15:16" ht="15.6" x14ac:dyDescent="0.3">
      <c r="O63" s="16" t="s">
        <v>6</v>
      </c>
      <c r="P63" s="17">
        <v>40886</v>
      </c>
    </row>
    <row r="64" spans="15:16" ht="15.6" x14ac:dyDescent="0.3">
      <c r="O64" s="16" t="s">
        <v>7</v>
      </c>
      <c r="P64" s="17">
        <v>40887</v>
      </c>
    </row>
    <row r="65" spans="15:16" ht="15.6" x14ac:dyDescent="0.3">
      <c r="O65" s="16" t="s">
        <v>8</v>
      </c>
      <c r="P65" s="17">
        <v>40888</v>
      </c>
    </row>
    <row r="66" spans="15:16" ht="15.6" x14ac:dyDescent="0.3">
      <c r="O66" s="16" t="s">
        <v>1</v>
      </c>
      <c r="P66" s="17">
        <v>40889</v>
      </c>
    </row>
    <row r="67" spans="15:16" ht="15.6" x14ac:dyDescent="0.3">
      <c r="O67" s="16" t="s">
        <v>2</v>
      </c>
      <c r="P67" s="17">
        <v>40890</v>
      </c>
    </row>
    <row r="68" spans="15:16" ht="15.6" x14ac:dyDescent="0.3">
      <c r="O68" s="16" t="s">
        <v>3</v>
      </c>
      <c r="P68" s="17">
        <v>40891</v>
      </c>
    </row>
    <row r="69" spans="15:16" ht="15.6" x14ac:dyDescent="0.3">
      <c r="O69" s="16" t="s">
        <v>4</v>
      </c>
      <c r="P69" s="17">
        <v>40892</v>
      </c>
    </row>
    <row r="70" spans="15:16" ht="15.6" x14ac:dyDescent="0.3">
      <c r="O70" s="16" t="s">
        <v>5</v>
      </c>
      <c r="P70" s="17">
        <v>40893</v>
      </c>
    </row>
    <row r="71" spans="15:16" ht="15.6" x14ac:dyDescent="0.3">
      <c r="O71" s="16" t="s">
        <v>6</v>
      </c>
      <c r="P71" s="17">
        <v>40894</v>
      </c>
    </row>
    <row r="72" spans="15:16" ht="15.6" x14ac:dyDescent="0.3">
      <c r="O72" s="16" t="s">
        <v>7</v>
      </c>
      <c r="P72" s="17">
        <v>40895</v>
      </c>
    </row>
    <row r="73" spans="15:16" ht="15.6" x14ac:dyDescent="0.3">
      <c r="O73" s="16" t="s">
        <v>8</v>
      </c>
      <c r="P73" s="17">
        <v>40896</v>
      </c>
    </row>
    <row r="74" spans="15:16" ht="15.6" x14ac:dyDescent="0.3">
      <c r="O74" s="16" t="s">
        <v>1</v>
      </c>
      <c r="P74" s="17">
        <v>40897</v>
      </c>
    </row>
    <row r="75" spans="15:16" ht="15.6" x14ac:dyDescent="0.3">
      <c r="O75" s="16" t="s">
        <v>2</v>
      </c>
      <c r="P75" s="17">
        <v>40898</v>
      </c>
    </row>
    <row r="76" spans="15:16" ht="15.6" x14ac:dyDescent="0.3">
      <c r="O76" s="16" t="s">
        <v>3</v>
      </c>
      <c r="P76" s="17">
        <v>40899</v>
      </c>
    </row>
    <row r="77" spans="15:16" ht="15.6" x14ac:dyDescent="0.3">
      <c r="O77" s="16" t="s">
        <v>4</v>
      </c>
      <c r="P77" s="17">
        <v>40900</v>
      </c>
    </row>
    <row r="78" spans="15:16" ht="15.6" x14ac:dyDescent="0.3">
      <c r="O78" s="16" t="s">
        <v>5</v>
      </c>
      <c r="P78" s="17">
        <v>40901</v>
      </c>
    </row>
    <row r="79" spans="15:16" ht="15.6" x14ac:dyDescent="0.3">
      <c r="O79" s="16" t="s">
        <v>6</v>
      </c>
      <c r="P79" s="17">
        <v>40902</v>
      </c>
    </row>
    <row r="80" spans="15:16" ht="15.6" x14ac:dyDescent="0.3">
      <c r="O80" s="16" t="s">
        <v>7</v>
      </c>
      <c r="P80" s="17">
        <v>40903</v>
      </c>
    </row>
    <row r="81" spans="15:16" ht="15.6" x14ac:dyDescent="0.3">
      <c r="O81" s="16" t="s">
        <v>8</v>
      </c>
      <c r="P81" s="17">
        <v>40904</v>
      </c>
    </row>
    <row r="82" spans="15:16" ht="15.6" x14ac:dyDescent="0.3">
      <c r="O82" s="16" t="s">
        <v>1</v>
      </c>
      <c r="P82" s="17">
        <v>40905</v>
      </c>
    </row>
    <row r="83" spans="15:16" ht="15.6" x14ac:dyDescent="0.3">
      <c r="O83" s="16" t="s">
        <v>2</v>
      </c>
      <c r="P83" s="17">
        <v>40906</v>
      </c>
    </row>
    <row r="84" spans="15:16" ht="15.6" x14ac:dyDescent="0.3">
      <c r="O84" s="16" t="s">
        <v>3</v>
      </c>
      <c r="P84" s="17">
        <v>40907</v>
      </c>
    </row>
    <row r="85" spans="15:16" ht="15.6" x14ac:dyDescent="0.3">
      <c r="O85" s="16" t="s">
        <v>4</v>
      </c>
      <c r="P85" s="17">
        <v>40908</v>
      </c>
    </row>
    <row r="86" spans="15:16" ht="15.6" x14ac:dyDescent="0.3">
      <c r="O86" s="16" t="s">
        <v>5</v>
      </c>
      <c r="P86" s="17">
        <v>40909</v>
      </c>
    </row>
    <row r="87" spans="15:16" ht="15.6" x14ac:dyDescent="0.3">
      <c r="O87" s="16" t="s">
        <v>6</v>
      </c>
      <c r="P87" s="17">
        <v>40910</v>
      </c>
    </row>
    <row r="88" spans="15:16" ht="15.6" x14ac:dyDescent="0.3">
      <c r="O88" s="16" t="s">
        <v>7</v>
      </c>
      <c r="P88" s="17">
        <v>40911</v>
      </c>
    </row>
    <row r="89" spans="15:16" ht="15.6" x14ac:dyDescent="0.3">
      <c r="O89" s="16" t="s">
        <v>8</v>
      </c>
      <c r="P89" s="17">
        <v>40912</v>
      </c>
    </row>
    <row r="90" spans="15:16" ht="15.6" x14ac:dyDescent="0.3">
      <c r="O90" s="16" t="s">
        <v>1</v>
      </c>
      <c r="P90" s="17">
        <v>40913</v>
      </c>
    </row>
    <row r="91" spans="15:16" ht="15.6" x14ac:dyDescent="0.3">
      <c r="O91" s="16" t="s">
        <v>2</v>
      </c>
      <c r="P91" s="17">
        <v>40914</v>
      </c>
    </row>
    <row r="92" spans="15:16" ht="15.6" x14ac:dyDescent="0.3">
      <c r="O92" s="16" t="s">
        <v>3</v>
      </c>
      <c r="P92" s="17">
        <v>40915</v>
      </c>
    </row>
    <row r="93" spans="15:16" ht="15.6" x14ac:dyDescent="0.3">
      <c r="O93" s="16" t="s">
        <v>4</v>
      </c>
      <c r="P93" s="17">
        <v>40916</v>
      </c>
    </row>
    <row r="94" spans="15:16" ht="15.6" x14ac:dyDescent="0.3">
      <c r="O94" s="16" t="s">
        <v>5</v>
      </c>
      <c r="P94" s="17">
        <v>40917</v>
      </c>
    </row>
    <row r="95" spans="15:16" ht="15.6" x14ac:dyDescent="0.3">
      <c r="O95" s="16" t="s">
        <v>6</v>
      </c>
      <c r="P95" s="17">
        <v>40918</v>
      </c>
    </row>
    <row r="96" spans="15:16" ht="15.6" x14ac:dyDescent="0.3">
      <c r="O96" s="16" t="s">
        <v>7</v>
      </c>
      <c r="P96" s="17">
        <v>40919</v>
      </c>
    </row>
    <row r="97" spans="15:16" ht="15.6" x14ac:dyDescent="0.3">
      <c r="O97" s="16" t="s">
        <v>8</v>
      </c>
      <c r="P97" s="17">
        <v>40920</v>
      </c>
    </row>
    <row r="98" spans="15:16" ht="15.6" x14ac:dyDescent="0.3">
      <c r="O98" s="16" t="s">
        <v>1</v>
      </c>
      <c r="P98" s="17">
        <v>40921</v>
      </c>
    </row>
    <row r="99" spans="15:16" ht="15.6" x14ac:dyDescent="0.3">
      <c r="O99" s="16" t="s">
        <v>2</v>
      </c>
      <c r="P99" s="17">
        <v>40922</v>
      </c>
    </row>
    <row r="100" spans="15:16" ht="15.6" x14ac:dyDescent="0.3">
      <c r="O100" s="16" t="s">
        <v>3</v>
      </c>
      <c r="P100" s="17">
        <v>40923</v>
      </c>
    </row>
    <row r="101" spans="15:16" ht="15.6" x14ac:dyDescent="0.3">
      <c r="O101" s="16" t="s">
        <v>4</v>
      </c>
      <c r="P101" s="17">
        <v>40924</v>
      </c>
    </row>
    <row r="102" spans="15:16" ht="15.6" x14ac:dyDescent="0.3">
      <c r="O102" s="16" t="s">
        <v>5</v>
      </c>
      <c r="P102" s="17">
        <v>40925</v>
      </c>
    </row>
    <row r="103" spans="15:16" ht="15.6" x14ac:dyDescent="0.3">
      <c r="O103" s="16" t="s">
        <v>6</v>
      </c>
      <c r="P103" s="17">
        <v>40926</v>
      </c>
    </row>
    <row r="104" spans="15:16" ht="15.6" x14ac:dyDescent="0.3">
      <c r="O104" s="16" t="s">
        <v>7</v>
      </c>
      <c r="P104" s="17">
        <v>40927</v>
      </c>
    </row>
    <row r="105" spans="15:16" ht="15.6" x14ac:dyDescent="0.3">
      <c r="O105" s="16" t="s">
        <v>8</v>
      </c>
      <c r="P105" s="17">
        <v>40928</v>
      </c>
    </row>
    <row r="106" spans="15:16" ht="15.6" x14ac:dyDescent="0.3">
      <c r="O106" s="16" t="s">
        <v>1</v>
      </c>
      <c r="P106" s="17">
        <v>40929</v>
      </c>
    </row>
    <row r="107" spans="15:16" ht="15.6" x14ac:dyDescent="0.3">
      <c r="O107" s="16" t="s">
        <v>2</v>
      </c>
      <c r="P107" s="17">
        <v>40930</v>
      </c>
    </row>
    <row r="108" spans="15:16" ht="15.6" x14ac:dyDescent="0.3">
      <c r="O108" s="16" t="s">
        <v>3</v>
      </c>
      <c r="P108" s="17">
        <v>40931</v>
      </c>
    </row>
    <row r="109" spans="15:16" ht="15.6" x14ac:dyDescent="0.3">
      <c r="O109" s="16" t="s">
        <v>4</v>
      </c>
      <c r="P109" s="17">
        <v>40932</v>
      </c>
    </row>
    <row r="110" spans="15:16" ht="15.6" x14ac:dyDescent="0.3">
      <c r="O110" s="16" t="s">
        <v>5</v>
      </c>
      <c r="P110" s="17">
        <v>40933</v>
      </c>
    </row>
    <row r="111" spans="15:16" ht="15.6" x14ac:dyDescent="0.3">
      <c r="O111" s="16" t="s">
        <v>6</v>
      </c>
      <c r="P111" s="17">
        <v>40934</v>
      </c>
    </row>
    <row r="112" spans="15:16" ht="15.6" x14ac:dyDescent="0.3">
      <c r="O112" s="16" t="s">
        <v>7</v>
      </c>
      <c r="P112" s="17">
        <v>40935</v>
      </c>
    </row>
    <row r="113" spans="15:16" ht="15.6" x14ac:dyDescent="0.3">
      <c r="O113" s="16" t="s">
        <v>8</v>
      </c>
      <c r="P113" s="17">
        <v>40936</v>
      </c>
    </row>
    <row r="114" spans="15:16" ht="15.6" x14ac:dyDescent="0.3">
      <c r="O114" s="16" t="s">
        <v>1</v>
      </c>
      <c r="P114" s="17">
        <v>40937</v>
      </c>
    </row>
    <row r="115" spans="15:16" ht="15.6" x14ac:dyDescent="0.3">
      <c r="O115" s="16" t="s">
        <v>2</v>
      </c>
      <c r="P115" s="17">
        <v>40938</v>
      </c>
    </row>
    <row r="116" spans="15:16" ht="15.6" x14ac:dyDescent="0.3">
      <c r="O116" s="16" t="s">
        <v>3</v>
      </c>
      <c r="P116" s="17">
        <v>40939</v>
      </c>
    </row>
    <row r="117" spans="15:16" ht="15.6" x14ac:dyDescent="0.3">
      <c r="O117" s="16" t="s">
        <v>4</v>
      </c>
      <c r="P117" s="17">
        <v>40940</v>
      </c>
    </row>
    <row r="118" spans="15:16" ht="15.6" x14ac:dyDescent="0.3">
      <c r="O118" s="16" t="s">
        <v>5</v>
      </c>
      <c r="P118" s="17">
        <v>40941</v>
      </c>
    </row>
    <row r="119" spans="15:16" ht="15.6" x14ac:dyDescent="0.3">
      <c r="O119" s="16" t="s">
        <v>6</v>
      </c>
      <c r="P119" s="17">
        <v>40942</v>
      </c>
    </row>
    <row r="120" spans="15:16" ht="15.6" x14ac:dyDescent="0.3">
      <c r="O120" s="16" t="s">
        <v>7</v>
      </c>
      <c r="P120" s="17">
        <v>40943</v>
      </c>
    </row>
    <row r="121" spans="15:16" ht="15.6" x14ac:dyDescent="0.3">
      <c r="O121" s="16" t="s">
        <v>8</v>
      </c>
      <c r="P121" s="17">
        <v>40944</v>
      </c>
    </row>
    <row r="122" spans="15:16" ht="15.6" x14ac:dyDescent="0.3">
      <c r="O122" s="16" t="s">
        <v>1</v>
      </c>
      <c r="P122" s="17">
        <v>40945</v>
      </c>
    </row>
    <row r="123" spans="15:16" ht="15.6" x14ac:dyDescent="0.3">
      <c r="O123" s="16" t="s">
        <v>2</v>
      </c>
      <c r="P123" s="17">
        <v>40946</v>
      </c>
    </row>
    <row r="124" spans="15:16" ht="15.6" x14ac:dyDescent="0.3">
      <c r="O124" s="16" t="s">
        <v>3</v>
      </c>
      <c r="P124" s="17">
        <v>40947</v>
      </c>
    </row>
    <row r="125" spans="15:16" ht="15.6" x14ac:dyDescent="0.3">
      <c r="O125" s="16" t="s">
        <v>4</v>
      </c>
      <c r="P125" s="17">
        <v>40948</v>
      </c>
    </row>
    <row r="126" spans="15:16" ht="15.6" x14ac:dyDescent="0.3">
      <c r="O126" s="16" t="s">
        <v>5</v>
      </c>
      <c r="P126" s="17">
        <v>40949</v>
      </c>
    </row>
    <row r="127" spans="15:16" ht="15.6" x14ac:dyDescent="0.3">
      <c r="O127" s="16" t="s">
        <v>6</v>
      </c>
      <c r="P127" s="17">
        <v>40950</v>
      </c>
    </row>
    <row r="128" spans="15:16" ht="15.6" x14ac:dyDescent="0.3">
      <c r="O128" s="16" t="s">
        <v>7</v>
      </c>
      <c r="P128" s="17">
        <v>40951</v>
      </c>
    </row>
    <row r="129" spans="15:16" ht="15.6" x14ac:dyDescent="0.3">
      <c r="O129" s="16" t="s">
        <v>8</v>
      </c>
      <c r="P129" s="17">
        <v>40952</v>
      </c>
    </row>
    <row r="130" spans="15:16" ht="15.6" x14ac:dyDescent="0.3">
      <c r="O130" s="16" t="s">
        <v>1</v>
      </c>
      <c r="P130" s="17">
        <v>40953</v>
      </c>
    </row>
    <row r="131" spans="15:16" ht="15.6" x14ac:dyDescent="0.3">
      <c r="O131" s="16" t="s">
        <v>2</v>
      </c>
      <c r="P131" s="17">
        <v>40954</v>
      </c>
    </row>
    <row r="132" spans="15:16" ht="15.6" x14ac:dyDescent="0.3">
      <c r="O132" s="16" t="s">
        <v>3</v>
      </c>
      <c r="P132" s="17">
        <v>40955</v>
      </c>
    </row>
    <row r="133" spans="15:16" ht="15.6" x14ac:dyDescent="0.3">
      <c r="O133" s="16" t="s">
        <v>4</v>
      </c>
      <c r="P133" s="17">
        <v>40956</v>
      </c>
    </row>
    <row r="134" spans="15:16" ht="15.6" x14ac:dyDescent="0.3">
      <c r="O134" s="16" t="s">
        <v>5</v>
      </c>
      <c r="P134" s="17">
        <v>40957</v>
      </c>
    </row>
    <row r="135" spans="15:16" ht="15.6" x14ac:dyDescent="0.3">
      <c r="O135" s="16" t="s">
        <v>6</v>
      </c>
      <c r="P135" s="17">
        <v>40958</v>
      </c>
    </row>
    <row r="136" spans="15:16" ht="15.6" x14ac:dyDescent="0.3">
      <c r="O136" s="16" t="s">
        <v>7</v>
      </c>
      <c r="P136" s="17">
        <v>40959</v>
      </c>
    </row>
    <row r="137" spans="15:16" ht="15.6" x14ac:dyDescent="0.3">
      <c r="O137" s="16" t="s">
        <v>8</v>
      </c>
      <c r="P137" s="17">
        <v>40960</v>
      </c>
    </row>
    <row r="138" spans="15:16" ht="15.6" x14ac:dyDescent="0.3">
      <c r="O138" s="16" t="s">
        <v>1</v>
      </c>
      <c r="P138" s="17">
        <v>40961</v>
      </c>
    </row>
    <row r="139" spans="15:16" ht="15.6" x14ac:dyDescent="0.3">
      <c r="O139" s="16" t="s">
        <v>2</v>
      </c>
      <c r="P139" s="17">
        <v>40962</v>
      </c>
    </row>
    <row r="140" spans="15:16" ht="15.6" x14ac:dyDescent="0.3">
      <c r="O140" s="16" t="s">
        <v>3</v>
      </c>
      <c r="P140" s="17">
        <v>40963</v>
      </c>
    </row>
    <row r="141" spans="15:16" ht="15.6" x14ac:dyDescent="0.3">
      <c r="O141" s="16" t="s">
        <v>4</v>
      </c>
      <c r="P141" s="17">
        <v>40964</v>
      </c>
    </row>
    <row r="142" spans="15:16" ht="15.6" x14ac:dyDescent="0.3">
      <c r="O142" s="16" t="s">
        <v>5</v>
      </c>
      <c r="P142" s="17">
        <v>40965</v>
      </c>
    </row>
    <row r="143" spans="15:16" ht="15.6" x14ac:dyDescent="0.3">
      <c r="O143" s="16" t="s">
        <v>6</v>
      </c>
      <c r="P143" s="17">
        <v>40966</v>
      </c>
    </row>
    <row r="144" spans="15:16" ht="15.6" x14ac:dyDescent="0.3">
      <c r="O144" s="16" t="s">
        <v>7</v>
      </c>
      <c r="P144" s="17">
        <v>40967</v>
      </c>
    </row>
    <row r="145" spans="15:16" ht="15.6" x14ac:dyDescent="0.3">
      <c r="O145" s="16" t="s">
        <v>8</v>
      </c>
      <c r="P145" s="17">
        <v>40968</v>
      </c>
    </row>
    <row r="146" spans="15:16" ht="15.6" x14ac:dyDescent="0.3">
      <c r="O146" s="16" t="s">
        <v>1</v>
      </c>
      <c r="P146" s="17">
        <v>40969</v>
      </c>
    </row>
    <row r="147" spans="15:16" ht="15.6" x14ac:dyDescent="0.3">
      <c r="O147" s="16" t="s">
        <v>2</v>
      </c>
      <c r="P147" s="17">
        <v>40970</v>
      </c>
    </row>
    <row r="148" spans="15:16" ht="15.6" x14ac:dyDescent="0.3">
      <c r="O148" s="16" t="s">
        <v>3</v>
      </c>
      <c r="P148" s="17">
        <v>40971</v>
      </c>
    </row>
    <row r="149" spans="15:16" ht="15.6" x14ac:dyDescent="0.3">
      <c r="O149" s="16" t="s">
        <v>4</v>
      </c>
      <c r="P149" s="17">
        <v>40972</v>
      </c>
    </row>
    <row r="150" spans="15:16" ht="15.6" x14ac:dyDescent="0.3">
      <c r="O150" s="16" t="s">
        <v>5</v>
      </c>
      <c r="P150" s="17">
        <v>40973</v>
      </c>
    </row>
    <row r="151" spans="15:16" ht="15.6" x14ac:dyDescent="0.3">
      <c r="O151" s="16" t="s">
        <v>6</v>
      </c>
      <c r="P151" s="17">
        <v>40974</v>
      </c>
    </row>
    <row r="152" spans="15:16" ht="15.6" x14ac:dyDescent="0.3">
      <c r="O152" s="16" t="s">
        <v>7</v>
      </c>
      <c r="P152" s="17">
        <v>40975</v>
      </c>
    </row>
    <row r="153" spans="15:16" ht="15.6" x14ac:dyDescent="0.3">
      <c r="O153" s="16" t="s">
        <v>8</v>
      </c>
      <c r="P153" s="17">
        <v>40976</v>
      </c>
    </row>
    <row r="154" spans="15:16" ht="15.6" x14ac:dyDescent="0.3">
      <c r="O154" s="16" t="s">
        <v>1</v>
      </c>
      <c r="P154" s="17">
        <v>40977</v>
      </c>
    </row>
    <row r="155" spans="15:16" ht="15.6" x14ac:dyDescent="0.3">
      <c r="O155" s="16" t="s">
        <v>2</v>
      </c>
      <c r="P155" s="17">
        <v>40978</v>
      </c>
    </row>
    <row r="156" spans="15:16" ht="15.6" x14ac:dyDescent="0.3">
      <c r="O156" s="16" t="s">
        <v>3</v>
      </c>
      <c r="P156" s="17">
        <v>40979</v>
      </c>
    </row>
    <row r="157" spans="15:16" ht="15.6" x14ac:dyDescent="0.3">
      <c r="O157" s="16" t="s">
        <v>4</v>
      </c>
      <c r="P157" s="17">
        <v>40980</v>
      </c>
    </row>
    <row r="158" spans="15:16" ht="15.6" x14ac:dyDescent="0.3">
      <c r="O158" s="16" t="s">
        <v>5</v>
      </c>
      <c r="P158" s="17">
        <v>40981</v>
      </c>
    </row>
    <row r="159" spans="15:16" ht="15.6" x14ac:dyDescent="0.3">
      <c r="O159" s="16" t="s">
        <v>6</v>
      </c>
      <c r="P159" s="17">
        <v>40982</v>
      </c>
    </row>
    <row r="160" spans="15:16" ht="15.6" x14ac:dyDescent="0.3">
      <c r="O160" s="16" t="s">
        <v>7</v>
      </c>
      <c r="P160" s="17">
        <v>40983</v>
      </c>
    </row>
    <row r="161" spans="15:16" ht="15.6" x14ac:dyDescent="0.3">
      <c r="O161" s="16" t="s">
        <v>8</v>
      </c>
      <c r="P161" s="17">
        <v>40984</v>
      </c>
    </row>
    <row r="162" spans="15:16" ht="15.6" x14ac:dyDescent="0.3">
      <c r="O162" s="16" t="s">
        <v>1</v>
      </c>
      <c r="P162" s="17">
        <v>40985</v>
      </c>
    </row>
    <row r="163" spans="15:16" ht="15.6" x14ac:dyDescent="0.3">
      <c r="O163" s="16" t="s">
        <v>2</v>
      </c>
      <c r="P163" s="17">
        <v>40986</v>
      </c>
    </row>
    <row r="164" spans="15:16" ht="15.6" x14ac:dyDescent="0.3">
      <c r="O164" s="16" t="s">
        <v>3</v>
      </c>
      <c r="P164" s="17">
        <v>40987</v>
      </c>
    </row>
    <row r="165" spans="15:16" ht="15.6" x14ac:dyDescent="0.3">
      <c r="O165" s="16" t="s">
        <v>4</v>
      </c>
      <c r="P165" s="17">
        <v>40988</v>
      </c>
    </row>
    <row r="166" spans="15:16" ht="15.6" x14ac:dyDescent="0.3">
      <c r="O166" s="16" t="s">
        <v>5</v>
      </c>
      <c r="P166" s="17">
        <v>40989</v>
      </c>
    </row>
    <row r="167" spans="15:16" ht="15.6" x14ac:dyDescent="0.3">
      <c r="O167" s="16" t="s">
        <v>6</v>
      </c>
      <c r="P167" s="17">
        <v>40990</v>
      </c>
    </row>
    <row r="168" spans="15:16" ht="15.6" x14ac:dyDescent="0.3">
      <c r="O168" s="16" t="s">
        <v>7</v>
      </c>
      <c r="P168" s="17">
        <v>40991</v>
      </c>
    </row>
    <row r="169" spans="15:16" ht="15.6" x14ac:dyDescent="0.3">
      <c r="O169" s="16" t="s">
        <v>8</v>
      </c>
      <c r="P169" s="17">
        <v>40992</v>
      </c>
    </row>
    <row r="170" spans="15:16" ht="15.6" x14ac:dyDescent="0.3">
      <c r="O170" s="16" t="s">
        <v>1</v>
      </c>
      <c r="P170" s="17">
        <v>40993</v>
      </c>
    </row>
    <row r="171" spans="15:16" ht="15.6" x14ac:dyDescent="0.3">
      <c r="O171" s="16" t="s">
        <v>2</v>
      </c>
      <c r="P171" s="17">
        <v>40994</v>
      </c>
    </row>
    <row r="172" spans="15:16" ht="15.6" x14ac:dyDescent="0.3">
      <c r="O172" s="16" t="s">
        <v>3</v>
      </c>
      <c r="P172" s="17">
        <v>40995</v>
      </c>
    </row>
    <row r="173" spans="15:16" ht="15.6" x14ac:dyDescent="0.3">
      <c r="O173" s="16" t="s">
        <v>4</v>
      </c>
      <c r="P173" s="17">
        <v>40996</v>
      </c>
    </row>
    <row r="174" spans="15:16" ht="15.6" x14ac:dyDescent="0.3">
      <c r="O174" s="16" t="s">
        <v>5</v>
      </c>
      <c r="P174" s="17">
        <v>40997</v>
      </c>
    </row>
    <row r="175" spans="15:16" ht="15.6" x14ac:dyDescent="0.3">
      <c r="O175" s="16" t="s">
        <v>6</v>
      </c>
      <c r="P175" s="17">
        <v>40998</v>
      </c>
    </row>
    <row r="176" spans="15:16" ht="15.6" x14ac:dyDescent="0.3">
      <c r="O176" s="16" t="s">
        <v>7</v>
      </c>
      <c r="P176" s="17">
        <v>40999</v>
      </c>
    </row>
    <row r="177" spans="15:16" ht="15.6" x14ac:dyDescent="0.3">
      <c r="O177" s="16" t="s">
        <v>8</v>
      </c>
      <c r="P177" s="17">
        <v>41000</v>
      </c>
    </row>
    <row r="178" spans="15:16" ht="15.6" x14ac:dyDescent="0.3">
      <c r="O178" s="16" t="s">
        <v>1</v>
      </c>
      <c r="P178" s="17">
        <v>41001</v>
      </c>
    </row>
    <row r="179" spans="15:16" ht="15.6" x14ac:dyDescent="0.3">
      <c r="O179" s="16" t="s">
        <v>2</v>
      </c>
      <c r="P179" s="17">
        <v>41002</v>
      </c>
    </row>
    <row r="180" spans="15:16" ht="15.6" x14ac:dyDescent="0.3">
      <c r="O180" s="16" t="s">
        <v>3</v>
      </c>
      <c r="P180" s="17">
        <v>41003</v>
      </c>
    </row>
    <row r="181" spans="15:16" ht="15.6" x14ac:dyDescent="0.3">
      <c r="O181" s="16" t="s">
        <v>4</v>
      </c>
      <c r="P181" s="17">
        <v>41004</v>
      </c>
    </row>
    <row r="182" spans="15:16" ht="15.6" x14ac:dyDescent="0.3">
      <c r="O182" s="16" t="s">
        <v>5</v>
      </c>
      <c r="P182" s="17">
        <v>41005</v>
      </c>
    </row>
    <row r="183" spans="15:16" ht="15.6" x14ac:dyDescent="0.3">
      <c r="O183" s="16" t="s">
        <v>6</v>
      </c>
      <c r="P183" s="17">
        <v>41006</v>
      </c>
    </row>
    <row r="184" spans="15:16" ht="15.6" x14ac:dyDescent="0.3">
      <c r="O184" s="16" t="s">
        <v>7</v>
      </c>
      <c r="P184" s="17">
        <v>41007</v>
      </c>
    </row>
    <row r="185" spans="15:16" ht="15.6" x14ac:dyDescent="0.3">
      <c r="O185" s="16" t="s">
        <v>8</v>
      </c>
      <c r="P185" s="17">
        <v>41008</v>
      </c>
    </row>
    <row r="186" spans="15:16" ht="15.6" x14ac:dyDescent="0.3">
      <c r="O186" s="16" t="s">
        <v>1</v>
      </c>
      <c r="P186" s="17">
        <v>41009</v>
      </c>
    </row>
    <row r="187" spans="15:16" ht="15.6" x14ac:dyDescent="0.3">
      <c r="O187" s="16" t="s">
        <v>2</v>
      </c>
      <c r="P187" s="17">
        <v>41010</v>
      </c>
    </row>
    <row r="188" spans="15:16" ht="15.6" x14ac:dyDescent="0.3">
      <c r="O188" s="16" t="s">
        <v>3</v>
      </c>
      <c r="P188" s="17">
        <v>41011</v>
      </c>
    </row>
    <row r="189" spans="15:16" ht="15.6" x14ac:dyDescent="0.3">
      <c r="O189" s="16" t="s">
        <v>4</v>
      </c>
      <c r="P189" s="17">
        <v>41012</v>
      </c>
    </row>
    <row r="190" spans="15:16" ht="15.6" x14ac:dyDescent="0.3">
      <c r="O190" s="16" t="s">
        <v>5</v>
      </c>
      <c r="P190" s="17">
        <v>41013</v>
      </c>
    </row>
    <row r="191" spans="15:16" ht="15.6" x14ac:dyDescent="0.3">
      <c r="O191" s="16" t="s">
        <v>6</v>
      </c>
      <c r="P191" s="17">
        <v>41014</v>
      </c>
    </row>
    <row r="192" spans="15:16" ht="15.6" x14ac:dyDescent="0.3">
      <c r="O192" s="16" t="s">
        <v>7</v>
      </c>
      <c r="P192" s="17">
        <v>41015</v>
      </c>
    </row>
    <row r="193" spans="15:16" ht="15.6" x14ac:dyDescent="0.3">
      <c r="O193" s="16" t="s">
        <v>8</v>
      </c>
      <c r="P193" s="17">
        <v>41016</v>
      </c>
    </row>
    <row r="194" spans="15:16" ht="15.6" x14ac:dyDescent="0.3">
      <c r="O194" s="16" t="s">
        <v>1</v>
      </c>
      <c r="P194" s="17">
        <v>41017</v>
      </c>
    </row>
    <row r="195" spans="15:16" ht="15.6" x14ac:dyDescent="0.3">
      <c r="O195" s="16" t="s">
        <v>2</v>
      </c>
      <c r="P195" s="17">
        <v>41018</v>
      </c>
    </row>
    <row r="196" spans="15:16" ht="15.6" x14ac:dyDescent="0.3">
      <c r="O196" s="16" t="s">
        <v>3</v>
      </c>
      <c r="P196" s="17">
        <v>41019</v>
      </c>
    </row>
    <row r="197" spans="15:16" ht="15.6" x14ac:dyDescent="0.3">
      <c r="O197" s="16" t="s">
        <v>4</v>
      </c>
      <c r="P197" s="17">
        <v>41020</v>
      </c>
    </row>
    <row r="198" spans="15:16" ht="15.6" x14ac:dyDescent="0.3">
      <c r="O198" s="16" t="s">
        <v>5</v>
      </c>
      <c r="P198" s="17">
        <v>41021</v>
      </c>
    </row>
    <row r="199" spans="15:16" ht="15.6" x14ac:dyDescent="0.3">
      <c r="O199" s="16" t="s">
        <v>6</v>
      </c>
      <c r="P199" s="17">
        <v>41022</v>
      </c>
    </row>
    <row r="200" spans="15:16" ht="15.6" x14ac:dyDescent="0.3">
      <c r="O200" s="16" t="s">
        <v>7</v>
      </c>
      <c r="P200" s="17">
        <v>41023</v>
      </c>
    </row>
    <row r="201" spans="15:16" ht="15.6" x14ac:dyDescent="0.3">
      <c r="O201" s="16" t="s">
        <v>8</v>
      </c>
      <c r="P201" s="17">
        <v>41024</v>
      </c>
    </row>
    <row r="202" spans="15:16" ht="15.6" x14ac:dyDescent="0.3">
      <c r="O202" s="16" t="s">
        <v>1</v>
      </c>
      <c r="P202" s="17">
        <v>41025</v>
      </c>
    </row>
    <row r="203" spans="15:16" ht="15.6" x14ac:dyDescent="0.3">
      <c r="O203" s="16" t="s">
        <v>2</v>
      </c>
      <c r="P203" s="17">
        <v>41026</v>
      </c>
    </row>
    <row r="204" spans="15:16" ht="15.6" x14ac:dyDescent="0.3">
      <c r="O204" s="16" t="s">
        <v>3</v>
      </c>
      <c r="P204" s="17">
        <v>41027</v>
      </c>
    </row>
    <row r="205" spans="15:16" ht="15.6" x14ac:dyDescent="0.3">
      <c r="O205" s="16" t="s">
        <v>4</v>
      </c>
      <c r="P205" s="17">
        <v>41028</v>
      </c>
    </row>
    <row r="206" spans="15:16" ht="15.6" x14ac:dyDescent="0.3">
      <c r="O206" s="16" t="s">
        <v>5</v>
      </c>
      <c r="P206" s="17">
        <v>41029</v>
      </c>
    </row>
    <row r="207" spans="15:16" ht="15.6" x14ac:dyDescent="0.3">
      <c r="O207" s="16" t="s">
        <v>6</v>
      </c>
      <c r="P207" s="17">
        <v>41030</v>
      </c>
    </row>
    <row r="208" spans="15:16" ht="15.6" x14ac:dyDescent="0.3">
      <c r="O208" s="16" t="s">
        <v>7</v>
      </c>
      <c r="P208" s="17">
        <v>41031</v>
      </c>
    </row>
    <row r="209" spans="15:16" ht="15.6" x14ac:dyDescent="0.3">
      <c r="O209" s="16" t="s">
        <v>8</v>
      </c>
      <c r="P209" s="17">
        <v>41032</v>
      </c>
    </row>
    <row r="210" spans="15:16" ht="15.6" x14ac:dyDescent="0.3">
      <c r="O210" s="16" t="s">
        <v>1</v>
      </c>
      <c r="P210" s="17">
        <v>41033</v>
      </c>
    </row>
    <row r="211" spans="15:16" ht="15.6" x14ac:dyDescent="0.3">
      <c r="O211" s="16" t="s">
        <v>2</v>
      </c>
      <c r="P211" s="17">
        <v>41034</v>
      </c>
    </row>
    <row r="212" spans="15:16" ht="15.6" x14ac:dyDescent="0.3">
      <c r="O212" s="16" t="s">
        <v>3</v>
      </c>
      <c r="P212" s="17">
        <v>41035</v>
      </c>
    </row>
    <row r="213" spans="15:16" ht="15.6" x14ac:dyDescent="0.3">
      <c r="O213" s="16" t="s">
        <v>4</v>
      </c>
      <c r="P213" s="17">
        <v>41036</v>
      </c>
    </row>
    <row r="214" spans="15:16" ht="15.6" x14ac:dyDescent="0.3">
      <c r="O214" s="16" t="s">
        <v>5</v>
      </c>
      <c r="P214" s="17">
        <v>41037</v>
      </c>
    </row>
    <row r="215" spans="15:16" ht="15.6" x14ac:dyDescent="0.3">
      <c r="O215" s="16" t="s">
        <v>6</v>
      </c>
      <c r="P215" s="17">
        <v>41038</v>
      </c>
    </row>
    <row r="216" spans="15:16" ht="15.6" x14ac:dyDescent="0.3">
      <c r="O216" s="16" t="s">
        <v>7</v>
      </c>
      <c r="P216" s="17">
        <v>41039</v>
      </c>
    </row>
    <row r="217" spans="15:16" ht="15.6" x14ac:dyDescent="0.3">
      <c r="O217" s="16" t="s">
        <v>8</v>
      </c>
      <c r="P217" s="17">
        <v>41040</v>
      </c>
    </row>
    <row r="218" spans="15:16" ht="15.6" x14ac:dyDescent="0.3">
      <c r="O218" s="16" t="s">
        <v>1</v>
      </c>
      <c r="P218" s="17">
        <v>41041</v>
      </c>
    </row>
    <row r="219" spans="15:16" ht="15.6" x14ac:dyDescent="0.3">
      <c r="O219" s="16" t="s">
        <v>2</v>
      </c>
      <c r="P219" s="17">
        <v>41042</v>
      </c>
    </row>
    <row r="220" spans="15:16" ht="15.6" x14ac:dyDescent="0.3">
      <c r="O220" s="16" t="s">
        <v>3</v>
      </c>
      <c r="P220" s="17">
        <v>41043</v>
      </c>
    </row>
    <row r="221" spans="15:16" ht="15.6" x14ac:dyDescent="0.3">
      <c r="O221" s="16" t="s">
        <v>4</v>
      </c>
      <c r="P221" s="17">
        <v>41044</v>
      </c>
    </row>
    <row r="222" spans="15:16" ht="15.6" x14ac:dyDescent="0.3">
      <c r="O222" s="16" t="s">
        <v>5</v>
      </c>
      <c r="P222" s="17">
        <v>41045</v>
      </c>
    </row>
    <row r="223" spans="15:16" ht="15.6" x14ac:dyDescent="0.3">
      <c r="O223" s="16" t="s">
        <v>6</v>
      </c>
      <c r="P223" s="17">
        <v>41046</v>
      </c>
    </row>
    <row r="224" spans="15:16" ht="15.6" x14ac:dyDescent="0.3">
      <c r="O224" s="16" t="s">
        <v>7</v>
      </c>
      <c r="P224" s="17">
        <v>41047</v>
      </c>
    </row>
    <row r="225" spans="15:16" ht="15.6" x14ac:dyDescent="0.3">
      <c r="O225" s="16" t="s">
        <v>8</v>
      </c>
      <c r="P225" s="17">
        <v>41048</v>
      </c>
    </row>
    <row r="226" spans="15:16" ht="15.6" x14ac:dyDescent="0.3">
      <c r="O226" s="16" t="s">
        <v>1</v>
      </c>
      <c r="P226" s="17">
        <v>41049</v>
      </c>
    </row>
    <row r="227" spans="15:16" ht="15.6" x14ac:dyDescent="0.3">
      <c r="O227" s="16" t="s">
        <v>2</v>
      </c>
      <c r="P227" s="17">
        <v>41050</v>
      </c>
    </row>
    <row r="228" spans="15:16" ht="15.6" x14ac:dyDescent="0.3">
      <c r="O228" s="16" t="s">
        <v>3</v>
      </c>
      <c r="P228" s="17">
        <v>41051</v>
      </c>
    </row>
    <row r="229" spans="15:16" ht="15.6" x14ac:dyDescent="0.3">
      <c r="O229" s="16" t="s">
        <v>4</v>
      </c>
      <c r="P229" s="17">
        <v>41052</v>
      </c>
    </row>
    <row r="230" spans="15:16" ht="15.6" x14ac:dyDescent="0.3">
      <c r="O230" s="16" t="s">
        <v>5</v>
      </c>
      <c r="P230" s="17">
        <v>41053</v>
      </c>
    </row>
    <row r="231" spans="15:16" ht="15.6" x14ac:dyDescent="0.3">
      <c r="O231" s="16" t="s">
        <v>6</v>
      </c>
      <c r="P231" s="17">
        <v>41054</v>
      </c>
    </row>
    <row r="232" spans="15:16" ht="15.6" x14ac:dyDescent="0.3">
      <c r="O232" s="16" t="s">
        <v>7</v>
      </c>
      <c r="P232" s="17">
        <v>41055</v>
      </c>
    </row>
    <row r="233" spans="15:16" ht="15.6" x14ac:dyDescent="0.3">
      <c r="O233" s="16" t="s">
        <v>8</v>
      </c>
      <c r="P233" s="17">
        <v>41056</v>
      </c>
    </row>
    <row r="234" spans="15:16" ht="15.6" x14ac:dyDescent="0.3">
      <c r="O234" s="16" t="s">
        <v>1</v>
      </c>
      <c r="P234" s="17">
        <v>41057</v>
      </c>
    </row>
    <row r="235" spans="15:16" ht="15.6" x14ac:dyDescent="0.3">
      <c r="O235" s="16" t="s">
        <v>2</v>
      </c>
      <c r="P235" s="17">
        <v>41058</v>
      </c>
    </row>
    <row r="236" spans="15:16" ht="15.6" x14ac:dyDescent="0.3">
      <c r="O236" s="16" t="s">
        <v>3</v>
      </c>
      <c r="P236" s="17">
        <v>41059</v>
      </c>
    </row>
    <row r="237" spans="15:16" ht="15.6" x14ac:dyDescent="0.3">
      <c r="O237" s="16" t="s">
        <v>4</v>
      </c>
      <c r="P237" s="17">
        <v>41060</v>
      </c>
    </row>
    <row r="238" spans="15:16" ht="15.6" x14ac:dyDescent="0.3">
      <c r="O238" s="16" t="s">
        <v>5</v>
      </c>
      <c r="P238" s="17">
        <v>41061</v>
      </c>
    </row>
    <row r="239" spans="15:16" ht="15.6" x14ac:dyDescent="0.3">
      <c r="O239" s="16" t="s">
        <v>6</v>
      </c>
      <c r="P239" s="17">
        <v>41062</v>
      </c>
    </row>
    <row r="240" spans="15:16" ht="15.6" x14ac:dyDescent="0.3">
      <c r="O240" s="16" t="s">
        <v>7</v>
      </c>
      <c r="P240" s="17">
        <v>41063</v>
      </c>
    </row>
    <row r="241" spans="15:16" ht="15.6" x14ac:dyDescent="0.3">
      <c r="O241" s="16" t="s">
        <v>8</v>
      </c>
      <c r="P241" s="17">
        <v>41064</v>
      </c>
    </row>
    <row r="242" spans="15:16" ht="15.6" x14ac:dyDescent="0.3">
      <c r="O242" s="16" t="s">
        <v>1</v>
      </c>
      <c r="P242" s="17">
        <v>41065</v>
      </c>
    </row>
    <row r="243" spans="15:16" ht="15.6" x14ac:dyDescent="0.3">
      <c r="O243" s="16" t="s">
        <v>2</v>
      </c>
      <c r="P243" s="17">
        <v>41066</v>
      </c>
    </row>
    <row r="244" spans="15:16" ht="15.6" x14ac:dyDescent="0.3">
      <c r="O244" s="16" t="s">
        <v>3</v>
      </c>
      <c r="P244" s="17">
        <v>41067</v>
      </c>
    </row>
    <row r="245" spans="15:16" ht="15.6" x14ac:dyDescent="0.3">
      <c r="O245" s="16" t="s">
        <v>4</v>
      </c>
      <c r="P245" s="17">
        <v>41068</v>
      </c>
    </row>
    <row r="246" spans="15:16" ht="15.6" x14ac:dyDescent="0.3">
      <c r="O246" s="16" t="s">
        <v>5</v>
      </c>
      <c r="P246" s="17">
        <v>41069</v>
      </c>
    </row>
    <row r="247" spans="15:16" ht="15.6" x14ac:dyDescent="0.3">
      <c r="O247" s="16" t="s">
        <v>6</v>
      </c>
      <c r="P247" s="17">
        <v>41070</v>
      </c>
    </row>
    <row r="248" spans="15:16" ht="15.6" x14ac:dyDescent="0.3">
      <c r="O248" s="16" t="s">
        <v>7</v>
      </c>
      <c r="P248" s="17">
        <v>41071</v>
      </c>
    </row>
    <row r="249" spans="15:16" ht="15.6" x14ac:dyDescent="0.3">
      <c r="O249" s="16" t="s">
        <v>8</v>
      </c>
      <c r="P249" s="17">
        <v>41072</v>
      </c>
    </row>
    <row r="250" spans="15:16" ht="15.6" x14ac:dyDescent="0.3">
      <c r="O250" s="16" t="s">
        <v>1</v>
      </c>
      <c r="P250" s="17">
        <v>41073</v>
      </c>
    </row>
    <row r="251" spans="15:16" ht="15.6" x14ac:dyDescent="0.3">
      <c r="O251" s="16" t="s">
        <v>2</v>
      </c>
      <c r="P251" s="17">
        <v>41074</v>
      </c>
    </row>
    <row r="252" spans="15:16" ht="15.6" x14ac:dyDescent="0.3">
      <c r="O252" s="16" t="s">
        <v>3</v>
      </c>
      <c r="P252" s="17">
        <v>41075</v>
      </c>
    </row>
    <row r="253" spans="15:16" ht="15.6" x14ac:dyDescent="0.3">
      <c r="O253" s="16" t="s">
        <v>4</v>
      </c>
      <c r="P253" s="17">
        <v>41076</v>
      </c>
    </row>
    <row r="254" spans="15:16" ht="15.6" x14ac:dyDescent="0.3">
      <c r="O254" s="16" t="s">
        <v>5</v>
      </c>
      <c r="P254" s="17">
        <v>41077</v>
      </c>
    </row>
    <row r="255" spans="15:16" ht="15.6" x14ac:dyDescent="0.3">
      <c r="O255" s="16" t="s">
        <v>6</v>
      </c>
      <c r="P255" s="17">
        <v>41078</v>
      </c>
    </row>
    <row r="256" spans="15:16" ht="15.6" x14ac:dyDescent="0.3">
      <c r="O256" s="16" t="s">
        <v>7</v>
      </c>
      <c r="P256" s="17">
        <v>41079</v>
      </c>
    </row>
    <row r="257" spans="15:16" ht="15.6" x14ac:dyDescent="0.3">
      <c r="O257" s="16" t="s">
        <v>8</v>
      </c>
      <c r="P257" s="17">
        <v>41080</v>
      </c>
    </row>
    <row r="258" spans="15:16" ht="15.6" x14ac:dyDescent="0.3">
      <c r="O258" s="16" t="s">
        <v>1</v>
      </c>
      <c r="P258" s="17">
        <v>41081</v>
      </c>
    </row>
    <row r="259" spans="15:16" ht="15.6" x14ac:dyDescent="0.3">
      <c r="O259" s="16" t="s">
        <v>2</v>
      </c>
      <c r="P259" s="17">
        <v>41082</v>
      </c>
    </row>
    <row r="260" spans="15:16" ht="15.6" x14ac:dyDescent="0.3">
      <c r="O260" s="16" t="s">
        <v>3</v>
      </c>
      <c r="P260" s="17">
        <v>41083</v>
      </c>
    </row>
    <row r="261" spans="15:16" ht="15.6" x14ac:dyDescent="0.3">
      <c r="O261" s="16" t="s">
        <v>4</v>
      </c>
      <c r="P261" s="17">
        <v>41084</v>
      </c>
    </row>
    <row r="262" spans="15:16" ht="15.6" x14ac:dyDescent="0.3">
      <c r="O262" s="16" t="s">
        <v>5</v>
      </c>
      <c r="P262" s="17">
        <v>41085</v>
      </c>
    </row>
    <row r="263" spans="15:16" ht="15.6" x14ac:dyDescent="0.3">
      <c r="O263" s="16" t="s">
        <v>6</v>
      </c>
      <c r="P263" s="17">
        <v>41086</v>
      </c>
    </row>
    <row r="264" spans="15:16" ht="15.6" x14ac:dyDescent="0.3">
      <c r="O264" s="16" t="s">
        <v>7</v>
      </c>
      <c r="P264" s="17">
        <v>41087</v>
      </c>
    </row>
    <row r="265" spans="15:16" ht="15.6" x14ac:dyDescent="0.3">
      <c r="O265" s="16" t="s">
        <v>8</v>
      </c>
      <c r="P265" s="17">
        <v>41088</v>
      </c>
    </row>
    <row r="266" spans="15:16" ht="15.6" x14ac:dyDescent="0.3">
      <c r="O266" s="16" t="s">
        <v>1</v>
      </c>
      <c r="P266" s="17">
        <v>41089</v>
      </c>
    </row>
    <row r="267" spans="15:16" ht="15.6" x14ac:dyDescent="0.3">
      <c r="O267" s="16" t="s">
        <v>2</v>
      </c>
      <c r="P267" s="17">
        <v>41090</v>
      </c>
    </row>
    <row r="268" spans="15:16" ht="15.6" x14ac:dyDescent="0.3">
      <c r="O268" s="16" t="s">
        <v>3</v>
      </c>
      <c r="P268" s="17">
        <v>41091</v>
      </c>
    </row>
    <row r="269" spans="15:16" ht="15.6" x14ac:dyDescent="0.3">
      <c r="O269" s="16" t="s">
        <v>4</v>
      </c>
      <c r="P269" s="17">
        <v>41092</v>
      </c>
    </row>
    <row r="270" spans="15:16" ht="15.6" x14ac:dyDescent="0.3">
      <c r="O270" s="16" t="s">
        <v>5</v>
      </c>
      <c r="P270" s="17">
        <v>41093</v>
      </c>
    </row>
    <row r="271" spans="15:16" ht="15.6" x14ac:dyDescent="0.3">
      <c r="O271" s="16" t="s">
        <v>6</v>
      </c>
      <c r="P271" s="17">
        <v>41094</v>
      </c>
    </row>
    <row r="272" spans="15:16" ht="15.6" x14ac:dyDescent="0.3">
      <c r="O272" s="16" t="s">
        <v>7</v>
      </c>
      <c r="P272" s="17">
        <v>41095</v>
      </c>
    </row>
    <row r="273" spans="15:16" ht="15.6" x14ac:dyDescent="0.3">
      <c r="O273" s="16" t="s">
        <v>8</v>
      </c>
      <c r="P273" s="17">
        <v>41096</v>
      </c>
    </row>
    <row r="274" spans="15:16" ht="15.6" x14ac:dyDescent="0.3">
      <c r="O274" s="16" t="s">
        <v>1</v>
      </c>
      <c r="P274" s="17">
        <v>41097</v>
      </c>
    </row>
    <row r="275" spans="15:16" ht="15.6" x14ac:dyDescent="0.3">
      <c r="O275" s="16" t="s">
        <v>2</v>
      </c>
      <c r="P275" s="17">
        <v>41098</v>
      </c>
    </row>
    <row r="276" spans="15:16" ht="15.6" x14ac:dyDescent="0.3">
      <c r="O276" s="16" t="s">
        <v>3</v>
      </c>
      <c r="P276" s="17">
        <v>41099</v>
      </c>
    </row>
    <row r="277" spans="15:16" ht="15.6" x14ac:dyDescent="0.3">
      <c r="O277" s="16" t="s">
        <v>4</v>
      </c>
      <c r="P277" s="17">
        <v>41100</v>
      </c>
    </row>
    <row r="278" spans="15:16" ht="15.6" x14ac:dyDescent="0.3">
      <c r="O278" s="16" t="s">
        <v>5</v>
      </c>
      <c r="P278" s="17">
        <v>41101</v>
      </c>
    </row>
    <row r="279" spans="15:16" ht="15.6" x14ac:dyDescent="0.3">
      <c r="O279" s="16" t="s">
        <v>6</v>
      </c>
      <c r="P279" s="17">
        <v>41102</v>
      </c>
    </row>
    <row r="280" spans="15:16" ht="15.6" x14ac:dyDescent="0.3">
      <c r="O280" s="16" t="s">
        <v>7</v>
      </c>
      <c r="P280" s="17">
        <v>41103</v>
      </c>
    </row>
    <row r="281" spans="15:16" ht="15.6" x14ac:dyDescent="0.3">
      <c r="O281" s="16" t="s">
        <v>8</v>
      </c>
      <c r="P281" s="17">
        <v>41104</v>
      </c>
    </row>
    <row r="282" spans="15:16" ht="15.6" x14ac:dyDescent="0.3">
      <c r="O282" s="16" t="s">
        <v>1</v>
      </c>
      <c r="P282" s="17">
        <v>41105</v>
      </c>
    </row>
    <row r="283" spans="15:16" ht="15.6" x14ac:dyDescent="0.3">
      <c r="O283" s="16" t="s">
        <v>2</v>
      </c>
      <c r="P283" s="17">
        <v>41106</v>
      </c>
    </row>
    <row r="284" spans="15:16" ht="15.6" x14ac:dyDescent="0.3">
      <c r="O284" s="16" t="s">
        <v>3</v>
      </c>
      <c r="P284" s="17">
        <v>41107</v>
      </c>
    </row>
    <row r="285" spans="15:16" ht="15.6" x14ac:dyDescent="0.3">
      <c r="O285" s="16" t="s">
        <v>4</v>
      </c>
      <c r="P285" s="17">
        <v>41108</v>
      </c>
    </row>
    <row r="286" spans="15:16" ht="15.6" x14ac:dyDescent="0.3">
      <c r="O286" s="16" t="s">
        <v>5</v>
      </c>
      <c r="P286" s="17">
        <v>41109</v>
      </c>
    </row>
    <row r="287" spans="15:16" ht="15.6" x14ac:dyDescent="0.3">
      <c r="O287" s="16" t="s">
        <v>6</v>
      </c>
      <c r="P287" s="17">
        <v>41110</v>
      </c>
    </row>
    <row r="288" spans="15:16" ht="15.6" x14ac:dyDescent="0.3">
      <c r="O288" s="16" t="s">
        <v>7</v>
      </c>
      <c r="P288" s="17">
        <v>41111</v>
      </c>
    </row>
    <row r="289" spans="15:16" ht="15.6" x14ac:dyDescent="0.3">
      <c r="O289" s="16" t="s">
        <v>8</v>
      </c>
      <c r="P289" s="17">
        <v>41112</v>
      </c>
    </row>
    <row r="290" spans="15:16" ht="15.6" x14ac:dyDescent="0.3">
      <c r="O290" s="16" t="s">
        <v>1</v>
      </c>
      <c r="P290" s="17">
        <v>41113</v>
      </c>
    </row>
    <row r="291" spans="15:16" ht="15.6" x14ac:dyDescent="0.3">
      <c r="O291" s="16" t="s">
        <v>2</v>
      </c>
      <c r="P291" s="17">
        <v>41114</v>
      </c>
    </row>
    <row r="292" spans="15:16" ht="15.6" x14ac:dyDescent="0.3">
      <c r="O292" s="16" t="s">
        <v>3</v>
      </c>
      <c r="P292" s="17">
        <v>41115</v>
      </c>
    </row>
    <row r="293" spans="15:16" ht="15.6" x14ac:dyDescent="0.3">
      <c r="O293" s="16" t="s">
        <v>4</v>
      </c>
      <c r="P293" s="17">
        <v>41116</v>
      </c>
    </row>
    <row r="294" spans="15:16" ht="15.6" x14ac:dyDescent="0.3">
      <c r="O294" s="16" t="s">
        <v>5</v>
      </c>
      <c r="P294" s="17">
        <v>41117</v>
      </c>
    </row>
    <row r="295" spans="15:16" ht="15.6" x14ac:dyDescent="0.3">
      <c r="O295" s="16" t="s">
        <v>6</v>
      </c>
      <c r="P295" s="17">
        <v>41118</v>
      </c>
    </row>
    <row r="296" spans="15:16" ht="15.6" x14ac:dyDescent="0.3">
      <c r="O296" s="16" t="s">
        <v>7</v>
      </c>
      <c r="P296" s="17">
        <v>41119</v>
      </c>
    </row>
    <row r="297" spans="15:16" ht="15.6" x14ac:dyDescent="0.3">
      <c r="O297" s="16" t="s">
        <v>8</v>
      </c>
      <c r="P297" s="17">
        <v>41120</v>
      </c>
    </row>
    <row r="298" spans="15:16" ht="15.6" x14ac:dyDescent="0.3">
      <c r="O298" s="16" t="s">
        <v>1</v>
      </c>
      <c r="P298" s="17">
        <v>41121</v>
      </c>
    </row>
    <row r="299" spans="15:16" ht="15.6" x14ac:dyDescent="0.3">
      <c r="O299" s="16" t="s">
        <v>2</v>
      </c>
      <c r="P299" s="17">
        <v>41122</v>
      </c>
    </row>
    <row r="300" spans="15:16" ht="15.6" x14ac:dyDescent="0.3">
      <c r="O300" s="16" t="s">
        <v>3</v>
      </c>
      <c r="P300" s="17">
        <v>41123</v>
      </c>
    </row>
    <row r="301" spans="15:16" ht="15.6" x14ac:dyDescent="0.3">
      <c r="O301" s="16" t="s">
        <v>4</v>
      </c>
      <c r="P301" s="17">
        <v>41124</v>
      </c>
    </row>
    <row r="302" spans="15:16" ht="15.6" x14ac:dyDescent="0.3">
      <c r="O302" s="16" t="s">
        <v>5</v>
      </c>
      <c r="P302" s="17">
        <v>41125</v>
      </c>
    </row>
    <row r="303" spans="15:16" ht="15.6" x14ac:dyDescent="0.3">
      <c r="O303" s="16" t="s">
        <v>6</v>
      </c>
      <c r="P303" s="17">
        <v>41126</v>
      </c>
    </row>
    <row r="304" spans="15:16" ht="15.6" x14ac:dyDescent="0.3">
      <c r="O304" s="16" t="s">
        <v>7</v>
      </c>
      <c r="P304" s="17">
        <v>41127</v>
      </c>
    </row>
    <row r="305" spans="15:16" ht="15.6" x14ac:dyDescent="0.3">
      <c r="O305" s="16" t="s">
        <v>8</v>
      </c>
      <c r="P305" s="17">
        <v>41128</v>
      </c>
    </row>
    <row r="306" spans="15:16" ht="15.6" x14ac:dyDescent="0.3">
      <c r="O306" s="16" t="s">
        <v>1</v>
      </c>
      <c r="P306" s="17">
        <v>41129</v>
      </c>
    </row>
    <row r="307" spans="15:16" ht="15.6" x14ac:dyDescent="0.3">
      <c r="O307" s="16" t="s">
        <v>2</v>
      </c>
      <c r="P307" s="17">
        <v>41130</v>
      </c>
    </row>
    <row r="308" spans="15:16" ht="15.6" x14ac:dyDescent="0.3">
      <c r="O308" s="16" t="s">
        <v>3</v>
      </c>
      <c r="P308" s="17">
        <v>41131</v>
      </c>
    </row>
    <row r="309" spans="15:16" ht="15.6" x14ac:dyDescent="0.3">
      <c r="O309" s="16" t="s">
        <v>4</v>
      </c>
      <c r="P309" s="17">
        <v>41132</v>
      </c>
    </row>
    <row r="310" spans="15:16" ht="15.6" x14ac:dyDescent="0.3">
      <c r="O310" s="16" t="s">
        <v>5</v>
      </c>
      <c r="P310" s="17">
        <v>41133</v>
      </c>
    </row>
    <row r="311" spans="15:16" ht="15.6" x14ac:dyDescent="0.3">
      <c r="O311" s="16" t="s">
        <v>6</v>
      </c>
      <c r="P311" s="17">
        <v>41134</v>
      </c>
    </row>
    <row r="312" spans="15:16" ht="15.6" x14ac:dyDescent="0.3">
      <c r="O312" s="16" t="s">
        <v>7</v>
      </c>
      <c r="P312" s="17">
        <v>41135</v>
      </c>
    </row>
    <row r="313" spans="15:16" ht="15.6" x14ac:dyDescent="0.3">
      <c r="O313" s="16" t="s">
        <v>8</v>
      </c>
      <c r="P313" s="17">
        <v>41136</v>
      </c>
    </row>
    <row r="314" spans="15:16" ht="15.6" x14ac:dyDescent="0.3">
      <c r="O314" s="16" t="s">
        <v>1</v>
      </c>
      <c r="P314" s="17">
        <v>41137</v>
      </c>
    </row>
    <row r="315" spans="15:16" ht="15.6" x14ac:dyDescent="0.3">
      <c r="O315" s="16" t="s">
        <v>2</v>
      </c>
      <c r="P315" s="17">
        <v>41138</v>
      </c>
    </row>
    <row r="316" spans="15:16" ht="15.6" x14ac:dyDescent="0.3">
      <c r="O316" s="16" t="s">
        <v>3</v>
      </c>
      <c r="P316" s="17">
        <v>41139</v>
      </c>
    </row>
    <row r="317" spans="15:16" ht="15.6" x14ac:dyDescent="0.3">
      <c r="O317" s="16" t="s">
        <v>4</v>
      </c>
      <c r="P317" s="17">
        <v>41140</v>
      </c>
    </row>
    <row r="318" spans="15:16" ht="15.6" x14ac:dyDescent="0.3">
      <c r="O318" s="16" t="s">
        <v>5</v>
      </c>
      <c r="P318" s="17">
        <v>41141</v>
      </c>
    </row>
    <row r="319" spans="15:16" ht="15.6" x14ac:dyDescent="0.3">
      <c r="O319" s="16" t="s">
        <v>6</v>
      </c>
      <c r="P319" s="17">
        <v>41142</v>
      </c>
    </row>
    <row r="320" spans="15:16" ht="15.6" x14ac:dyDescent="0.3">
      <c r="O320" s="16" t="s">
        <v>7</v>
      </c>
      <c r="P320" s="17">
        <v>41143</v>
      </c>
    </row>
    <row r="321" spans="15:16" ht="15.6" x14ac:dyDescent="0.3">
      <c r="O321" s="16" t="s">
        <v>8</v>
      </c>
      <c r="P321" s="17">
        <v>41144</v>
      </c>
    </row>
    <row r="322" spans="15:16" ht="15.6" x14ac:dyDescent="0.3">
      <c r="O322" s="16" t="s">
        <v>1</v>
      </c>
      <c r="P322" s="17">
        <v>41145</v>
      </c>
    </row>
    <row r="323" spans="15:16" ht="15.6" x14ac:dyDescent="0.3">
      <c r="O323" s="16" t="s">
        <v>2</v>
      </c>
      <c r="P323" s="17">
        <v>41146</v>
      </c>
    </row>
    <row r="324" spans="15:16" ht="15.6" x14ac:dyDescent="0.3">
      <c r="O324" s="16" t="s">
        <v>3</v>
      </c>
      <c r="P324" s="17">
        <v>41147</v>
      </c>
    </row>
    <row r="325" spans="15:16" ht="15.6" x14ac:dyDescent="0.3">
      <c r="O325" s="16" t="s">
        <v>4</v>
      </c>
      <c r="P325" s="17">
        <v>41148</v>
      </c>
    </row>
    <row r="326" spans="15:16" ht="15.6" x14ac:dyDescent="0.3">
      <c r="O326" s="16" t="s">
        <v>5</v>
      </c>
      <c r="P326" s="17">
        <v>41149</v>
      </c>
    </row>
    <row r="327" spans="15:16" ht="15.6" x14ac:dyDescent="0.3">
      <c r="O327" s="16" t="s">
        <v>6</v>
      </c>
      <c r="P327" s="17">
        <v>41150</v>
      </c>
    </row>
    <row r="328" spans="15:16" ht="15.6" x14ac:dyDescent="0.3">
      <c r="O328" s="16" t="s">
        <v>7</v>
      </c>
      <c r="P328" s="17">
        <v>41151</v>
      </c>
    </row>
    <row r="329" spans="15:16" ht="15.6" x14ac:dyDescent="0.3">
      <c r="O329" s="16" t="s">
        <v>8</v>
      </c>
      <c r="P329" s="17">
        <v>41152</v>
      </c>
    </row>
    <row r="330" spans="15:16" ht="15.6" x14ac:dyDescent="0.3">
      <c r="O330" s="16" t="s">
        <v>1</v>
      </c>
      <c r="P330" s="17">
        <v>41153</v>
      </c>
    </row>
    <row r="331" spans="15:16" ht="15.6" x14ac:dyDescent="0.3">
      <c r="O331" s="16" t="s">
        <v>2</v>
      </c>
      <c r="P331" s="17">
        <v>41154</v>
      </c>
    </row>
    <row r="332" spans="15:16" ht="15.6" x14ac:dyDescent="0.3">
      <c r="O332" s="16" t="s">
        <v>3</v>
      </c>
      <c r="P332" s="17">
        <v>41155</v>
      </c>
    </row>
    <row r="333" spans="15:16" ht="15.6" x14ac:dyDescent="0.3">
      <c r="O333" s="16" t="s">
        <v>4</v>
      </c>
      <c r="P333" s="17">
        <v>41156</v>
      </c>
    </row>
    <row r="334" spans="15:16" ht="15.6" x14ac:dyDescent="0.3">
      <c r="O334" s="16" t="s">
        <v>5</v>
      </c>
      <c r="P334" s="17">
        <v>41157</v>
      </c>
    </row>
    <row r="335" spans="15:16" ht="15.6" x14ac:dyDescent="0.3">
      <c r="O335" s="16" t="s">
        <v>6</v>
      </c>
      <c r="P335" s="17">
        <v>41158</v>
      </c>
    </row>
    <row r="336" spans="15:16" ht="15.6" x14ac:dyDescent="0.3">
      <c r="O336" s="16" t="s">
        <v>7</v>
      </c>
      <c r="P336" s="17">
        <v>41159</v>
      </c>
    </row>
    <row r="337" spans="15:16" ht="15.6" x14ac:dyDescent="0.3">
      <c r="O337" s="16" t="s">
        <v>8</v>
      </c>
      <c r="P337" s="17">
        <v>41160</v>
      </c>
    </row>
    <row r="338" spans="15:16" ht="15.6" x14ac:dyDescent="0.3">
      <c r="O338" s="16" t="s">
        <v>1</v>
      </c>
      <c r="P338" s="17">
        <v>41161</v>
      </c>
    </row>
    <row r="339" spans="15:16" ht="15.6" x14ac:dyDescent="0.3">
      <c r="O339" s="16" t="s">
        <v>2</v>
      </c>
      <c r="P339" s="17">
        <v>41162</v>
      </c>
    </row>
    <row r="340" spans="15:16" ht="15.6" x14ac:dyDescent="0.3">
      <c r="O340" s="16" t="s">
        <v>3</v>
      </c>
      <c r="P340" s="17">
        <v>41163</v>
      </c>
    </row>
    <row r="341" spans="15:16" ht="15.6" x14ac:dyDescent="0.3">
      <c r="O341" s="16" t="s">
        <v>4</v>
      </c>
      <c r="P341" s="17">
        <v>41164</v>
      </c>
    </row>
    <row r="342" spans="15:16" ht="15.6" x14ac:dyDescent="0.3">
      <c r="O342" s="16" t="s">
        <v>5</v>
      </c>
      <c r="P342" s="17">
        <v>41165</v>
      </c>
    </row>
    <row r="343" spans="15:16" ht="15.6" x14ac:dyDescent="0.3">
      <c r="O343" s="16" t="s">
        <v>6</v>
      </c>
      <c r="P343" s="17">
        <v>41166</v>
      </c>
    </row>
    <row r="344" spans="15:16" ht="15.6" x14ac:dyDescent="0.3">
      <c r="O344" s="16" t="s">
        <v>7</v>
      </c>
      <c r="P344" s="17">
        <v>41167</v>
      </c>
    </row>
    <row r="345" spans="15:16" ht="15.6" x14ac:dyDescent="0.3">
      <c r="O345" s="16" t="s">
        <v>8</v>
      </c>
      <c r="P345" s="17">
        <v>41168</v>
      </c>
    </row>
    <row r="346" spans="15:16" ht="15.6" x14ac:dyDescent="0.3">
      <c r="O346" s="16" t="s">
        <v>1</v>
      </c>
      <c r="P346" s="17">
        <v>41169</v>
      </c>
    </row>
    <row r="347" spans="15:16" ht="15.6" x14ac:dyDescent="0.3">
      <c r="O347" s="16" t="s">
        <v>2</v>
      </c>
      <c r="P347" s="17">
        <v>41170</v>
      </c>
    </row>
    <row r="348" spans="15:16" ht="15.6" x14ac:dyDescent="0.3">
      <c r="O348" s="16" t="s">
        <v>3</v>
      </c>
      <c r="P348" s="17">
        <v>41171</v>
      </c>
    </row>
    <row r="349" spans="15:16" ht="15.6" x14ac:dyDescent="0.3">
      <c r="O349" s="16" t="s">
        <v>4</v>
      </c>
      <c r="P349" s="17">
        <v>41172</v>
      </c>
    </row>
    <row r="350" spans="15:16" ht="15.6" x14ac:dyDescent="0.3">
      <c r="O350" s="16" t="s">
        <v>5</v>
      </c>
      <c r="P350" s="17">
        <v>41173</v>
      </c>
    </row>
    <row r="351" spans="15:16" ht="15.6" x14ac:dyDescent="0.3">
      <c r="O351" s="16" t="s">
        <v>6</v>
      </c>
      <c r="P351" s="17">
        <v>41174</v>
      </c>
    </row>
    <row r="352" spans="15:16" ht="15.6" x14ac:dyDescent="0.3">
      <c r="O352" s="16" t="s">
        <v>7</v>
      </c>
      <c r="P352" s="17">
        <v>41175</v>
      </c>
    </row>
    <row r="353" spans="15:16" ht="15.6" x14ac:dyDescent="0.3">
      <c r="O353" s="16" t="s">
        <v>8</v>
      </c>
      <c r="P353" s="17">
        <v>41176</v>
      </c>
    </row>
    <row r="354" spans="15:16" ht="15.6" x14ac:dyDescent="0.3">
      <c r="O354" s="16" t="s">
        <v>1</v>
      </c>
      <c r="P354" s="17">
        <v>41177</v>
      </c>
    </row>
    <row r="355" spans="15:16" ht="15.6" x14ac:dyDescent="0.3">
      <c r="O355" s="16" t="s">
        <v>2</v>
      </c>
      <c r="P355" s="17">
        <v>41178</v>
      </c>
    </row>
    <row r="356" spans="15:16" ht="15.6" x14ac:dyDescent="0.3">
      <c r="O356" s="16" t="s">
        <v>3</v>
      </c>
      <c r="P356" s="17">
        <v>41179</v>
      </c>
    </row>
    <row r="357" spans="15:16" ht="15.6" x14ac:dyDescent="0.3">
      <c r="O357" s="16" t="s">
        <v>4</v>
      </c>
      <c r="P357" s="17">
        <v>41180</v>
      </c>
    </row>
    <row r="358" spans="15:16" ht="15.6" x14ac:dyDescent="0.3">
      <c r="O358" s="16" t="s">
        <v>5</v>
      </c>
      <c r="P358" s="17">
        <v>41181</v>
      </c>
    </row>
    <row r="359" spans="15:16" ht="15.6" x14ac:dyDescent="0.3">
      <c r="O359" s="16" t="s">
        <v>6</v>
      </c>
      <c r="P359" s="17">
        <v>41182</v>
      </c>
    </row>
    <row r="360" spans="15:16" ht="15.6" x14ac:dyDescent="0.3">
      <c r="O360" s="16" t="s">
        <v>7</v>
      </c>
      <c r="P360" s="17">
        <v>41183</v>
      </c>
    </row>
    <row r="361" spans="15:16" ht="15.6" x14ac:dyDescent="0.3">
      <c r="O361" s="16" t="s">
        <v>8</v>
      </c>
      <c r="P361" s="17">
        <v>41184</v>
      </c>
    </row>
    <row r="362" spans="15:16" ht="15.6" x14ac:dyDescent="0.3">
      <c r="O362" s="16" t="s">
        <v>1</v>
      </c>
      <c r="P362" s="17">
        <v>41185</v>
      </c>
    </row>
    <row r="363" spans="15:16" ht="15.6" x14ac:dyDescent="0.3">
      <c r="O363" s="16" t="s">
        <v>2</v>
      </c>
      <c r="P363" s="17">
        <v>41186</v>
      </c>
    </row>
    <row r="364" spans="15:16" ht="15.6" x14ac:dyDescent="0.3">
      <c r="O364" s="16" t="s">
        <v>3</v>
      </c>
      <c r="P364" s="17">
        <v>41187</v>
      </c>
    </row>
    <row r="365" spans="15:16" ht="15.6" x14ac:dyDescent="0.3">
      <c r="O365" s="16" t="s">
        <v>4</v>
      </c>
      <c r="P365" s="17">
        <v>41188</v>
      </c>
    </row>
    <row r="366" spans="15:16" ht="15.6" x14ac:dyDescent="0.3">
      <c r="O366" s="16" t="s">
        <v>5</v>
      </c>
      <c r="P366" s="17">
        <v>41189</v>
      </c>
    </row>
    <row r="367" spans="15:16" ht="15.6" x14ac:dyDescent="0.3">
      <c r="O367" s="16" t="s">
        <v>6</v>
      </c>
      <c r="P367" s="17">
        <v>41190</v>
      </c>
    </row>
    <row r="368" spans="15:16" ht="15.6" x14ac:dyDescent="0.3">
      <c r="O368" s="16" t="s">
        <v>7</v>
      </c>
      <c r="P368" s="17">
        <v>41191</v>
      </c>
    </row>
    <row r="369" spans="15:16" ht="15.6" x14ac:dyDescent="0.3">
      <c r="O369" s="16" t="s">
        <v>8</v>
      </c>
      <c r="P369" s="17">
        <v>41192</v>
      </c>
    </row>
    <row r="370" spans="15:16" ht="15.6" x14ac:dyDescent="0.3">
      <c r="O370" s="16" t="s">
        <v>1</v>
      </c>
      <c r="P370" s="17">
        <v>41193</v>
      </c>
    </row>
    <row r="371" spans="15:16" ht="15.6" x14ac:dyDescent="0.3">
      <c r="O371" s="16" t="s">
        <v>2</v>
      </c>
      <c r="P371" s="17">
        <v>41194</v>
      </c>
    </row>
    <row r="372" spans="15:16" ht="15.6" x14ac:dyDescent="0.3">
      <c r="O372" s="16" t="s">
        <v>3</v>
      </c>
      <c r="P372" s="17">
        <v>41195</v>
      </c>
    </row>
    <row r="373" spans="15:16" ht="15.6" x14ac:dyDescent="0.3">
      <c r="O373" s="16" t="s">
        <v>4</v>
      </c>
      <c r="P373" s="17">
        <v>41196</v>
      </c>
    </row>
    <row r="374" spans="15:16" ht="15.6" x14ac:dyDescent="0.3">
      <c r="O374" s="16" t="s">
        <v>5</v>
      </c>
      <c r="P374" s="17">
        <v>41197</v>
      </c>
    </row>
    <row r="375" spans="15:16" ht="15.6" x14ac:dyDescent="0.3">
      <c r="O375" s="16" t="s">
        <v>6</v>
      </c>
      <c r="P375" s="17">
        <v>41198</v>
      </c>
    </row>
    <row r="376" spans="15:16" ht="15.6" x14ac:dyDescent="0.3">
      <c r="O376" s="16" t="s">
        <v>7</v>
      </c>
      <c r="P376" s="17">
        <v>41199</v>
      </c>
    </row>
    <row r="377" spans="15:16" ht="15.6" x14ac:dyDescent="0.3">
      <c r="O377" s="16" t="s">
        <v>8</v>
      </c>
      <c r="P377" s="17">
        <v>41200</v>
      </c>
    </row>
    <row r="378" spans="15:16" ht="15.6" x14ac:dyDescent="0.3">
      <c r="O378" s="16" t="s">
        <v>1</v>
      </c>
      <c r="P378" s="17">
        <v>41201</v>
      </c>
    </row>
    <row r="379" spans="15:16" ht="15.6" x14ac:dyDescent="0.3">
      <c r="O379" s="16" t="s">
        <v>2</v>
      </c>
      <c r="P379" s="17">
        <v>41202</v>
      </c>
    </row>
    <row r="380" spans="15:16" ht="15.6" x14ac:dyDescent="0.3">
      <c r="O380" s="16" t="s">
        <v>3</v>
      </c>
      <c r="P380" s="17">
        <v>41203</v>
      </c>
    </row>
    <row r="381" spans="15:16" ht="15.6" x14ac:dyDescent="0.3">
      <c r="O381" s="16" t="s">
        <v>4</v>
      </c>
      <c r="P381" s="17">
        <v>41204</v>
      </c>
    </row>
    <row r="382" spans="15:16" ht="15.6" x14ac:dyDescent="0.3">
      <c r="O382" s="16" t="s">
        <v>5</v>
      </c>
      <c r="P382" s="17">
        <v>41205</v>
      </c>
    </row>
    <row r="383" spans="15:16" ht="15.6" x14ac:dyDescent="0.3">
      <c r="O383" s="16" t="s">
        <v>6</v>
      </c>
      <c r="P383" s="17">
        <v>41206</v>
      </c>
    </row>
    <row r="384" spans="15:16" ht="15.6" x14ac:dyDescent="0.3">
      <c r="O384" s="16" t="s">
        <v>7</v>
      </c>
      <c r="P384" s="17">
        <v>41207</v>
      </c>
    </row>
    <row r="385" spans="15:16" ht="15.6" x14ac:dyDescent="0.3">
      <c r="O385" s="16" t="s">
        <v>8</v>
      </c>
      <c r="P385" s="17">
        <v>41208</v>
      </c>
    </row>
    <row r="386" spans="15:16" ht="15.6" x14ac:dyDescent="0.3">
      <c r="O386" s="16" t="s">
        <v>1</v>
      </c>
      <c r="P386" s="17">
        <v>41209</v>
      </c>
    </row>
    <row r="387" spans="15:16" ht="15.6" x14ac:dyDescent="0.3">
      <c r="O387" s="16" t="s">
        <v>2</v>
      </c>
      <c r="P387" s="17">
        <v>41210</v>
      </c>
    </row>
    <row r="388" spans="15:16" ht="15.6" x14ac:dyDescent="0.3">
      <c r="O388" s="16" t="s">
        <v>3</v>
      </c>
      <c r="P388" s="17">
        <v>41211</v>
      </c>
    </row>
    <row r="389" spans="15:16" ht="15.6" x14ac:dyDescent="0.3">
      <c r="O389" s="16" t="s">
        <v>4</v>
      </c>
      <c r="P389" s="17">
        <v>41212</v>
      </c>
    </row>
    <row r="390" spans="15:16" ht="15.6" x14ac:dyDescent="0.3">
      <c r="O390" s="16" t="s">
        <v>5</v>
      </c>
      <c r="P390" s="17">
        <v>41213</v>
      </c>
    </row>
    <row r="391" spans="15:16" ht="15.6" x14ac:dyDescent="0.3">
      <c r="O391" s="16" t="s">
        <v>6</v>
      </c>
      <c r="P391" s="17">
        <v>41214</v>
      </c>
    </row>
    <row r="392" spans="15:16" ht="15.6" x14ac:dyDescent="0.3">
      <c r="O392" s="16" t="s">
        <v>7</v>
      </c>
      <c r="P392" s="17">
        <v>41215</v>
      </c>
    </row>
    <row r="393" spans="15:16" ht="15.6" x14ac:dyDescent="0.3">
      <c r="O393" s="16" t="s">
        <v>8</v>
      </c>
      <c r="P393" s="17">
        <v>41216</v>
      </c>
    </row>
    <row r="394" spans="15:16" ht="15.6" x14ac:dyDescent="0.3">
      <c r="O394" s="16" t="s">
        <v>1</v>
      </c>
      <c r="P394" s="17">
        <v>41217</v>
      </c>
    </row>
    <row r="395" spans="15:16" ht="15.6" x14ac:dyDescent="0.3">
      <c r="O395" s="16" t="s">
        <v>2</v>
      </c>
      <c r="P395" s="17">
        <v>41218</v>
      </c>
    </row>
    <row r="396" spans="15:16" ht="15.6" x14ac:dyDescent="0.3">
      <c r="O396" s="16" t="s">
        <v>3</v>
      </c>
      <c r="P396" s="17">
        <v>41219</v>
      </c>
    </row>
    <row r="397" spans="15:16" ht="15.6" x14ac:dyDescent="0.3">
      <c r="O397" s="16" t="s">
        <v>4</v>
      </c>
      <c r="P397" s="17">
        <v>41220</v>
      </c>
    </row>
    <row r="398" spans="15:16" ht="15.6" x14ac:dyDescent="0.3">
      <c r="O398" s="16" t="s">
        <v>5</v>
      </c>
      <c r="P398" s="17">
        <v>41221</v>
      </c>
    </row>
    <row r="399" spans="15:16" ht="15.6" x14ac:dyDescent="0.3">
      <c r="O399" s="16" t="s">
        <v>6</v>
      </c>
      <c r="P399" s="17">
        <v>41222</v>
      </c>
    </row>
    <row r="400" spans="15:16" ht="15.6" x14ac:dyDescent="0.3">
      <c r="O400" s="16" t="s">
        <v>7</v>
      </c>
      <c r="P400" s="17">
        <v>41223</v>
      </c>
    </row>
    <row r="401" spans="15:16" ht="15.6" x14ac:dyDescent="0.3">
      <c r="O401" s="16" t="s">
        <v>8</v>
      </c>
      <c r="P401" s="17">
        <v>41224</v>
      </c>
    </row>
    <row r="402" spans="15:16" ht="15.6" x14ac:dyDescent="0.3">
      <c r="O402" s="16" t="s">
        <v>1</v>
      </c>
      <c r="P402" s="17">
        <v>41225</v>
      </c>
    </row>
    <row r="403" spans="15:16" ht="15.6" x14ac:dyDescent="0.3">
      <c r="O403" s="16" t="s">
        <v>2</v>
      </c>
      <c r="P403" s="17">
        <v>41226</v>
      </c>
    </row>
    <row r="404" spans="15:16" ht="15.6" x14ac:dyDescent="0.3">
      <c r="O404" s="16" t="s">
        <v>3</v>
      </c>
      <c r="P404" s="17">
        <v>41227</v>
      </c>
    </row>
    <row r="405" spans="15:16" ht="15.6" x14ac:dyDescent="0.3">
      <c r="O405" s="16" t="s">
        <v>4</v>
      </c>
      <c r="P405" s="17">
        <v>41228</v>
      </c>
    </row>
    <row r="406" spans="15:16" ht="15.6" x14ac:dyDescent="0.3">
      <c r="O406" s="16" t="s">
        <v>5</v>
      </c>
      <c r="P406" s="17">
        <v>41229</v>
      </c>
    </row>
    <row r="407" spans="15:16" ht="15.6" x14ac:dyDescent="0.3">
      <c r="O407" s="16" t="s">
        <v>6</v>
      </c>
      <c r="P407" s="17">
        <v>41230</v>
      </c>
    </row>
    <row r="408" spans="15:16" ht="15.6" x14ac:dyDescent="0.3">
      <c r="O408" s="16" t="s">
        <v>7</v>
      </c>
      <c r="P408" s="17">
        <v>41231</v>
      </c>
    </row>
    <row r="409" spans="15:16" ht="15.6" x14ac:dyDescent="0.3">
      <c r="O409" s="16" t="s">
        <v>8</v>
      </c>
      <c r="P409" s="17">
        <v>41232</v>
      </c>
    </row>
    <row r="410" spans="15:16" ht="15.6" x14ac:dyDescent="0.3">
      <c r="O410" s="16" t="s">
        <v>1</v>
      </c>
      <c r="P410" s="17">
        <v>41233</v>
      </c>
    </row>
    <row r="411" spans="15:16" ht="15.6" x14ac:dyDescent="0.3">
      <c r="O411" s="16" t="s">
        <v>2</v>
      </c>
      <c r="P411" s="17">
        <v>41234</v>
      </c>
    </row>
    <row r="412" spans="15:16" ht="15.6" x14ac:dyDescent="0.3">
      <c r="O412" s="16" t="s">
        <v>3</v>
      </c>
      <c r="P412" s="17">
        <v>41235</v>
      </c>
    </row>
    <row r="413" spans="15:16" ht="15.6" x14ac:dyDescent="0.3">
      <c r="O413" s="16" t="s">
        <v>4</v>
      </c>
      <c r="P413" s="17">
        <v>41236</v>
      </c>
    </row>
    <row r="414" spans="15:16" ht="15.6" x14ac:dyDescent="0.3">
      <c r="O414" s="16" t="s">
        <v>5</v>
      </c>
      <c r="P414" s="17">
        <v>41237</v>
      </c>
    </row>
    <row r="415" spans="15:16" ht="15.6" x14ac:dyDescent="0.3">
      <c r="O415" s="16" t="s">
        <v>6</v>
      </c>
      <c r="P415" s="17">
        <v>41238</v>
      </c>
    </row>
    <row r="416" spans="15:16" ht="15.6" x14ac:dyDescent="0.3">
      <c r="O416" s="16" t="s">
        <v>7</v>
      </c>
      <c r="P416" s="17">
        <v>41239</v>
      </c>
    </row>
    <row r="417" spans="15:16" ht="15.6" x14ac:dyDescent="0.3">
      <c r="O417" s="16" t="s">
        <v>8</v>
      </c>
      <c r="P417" s="17">
        <v>41240</v>
      </c>
    </row>
    <row r="418" spans="15:16" ht="15.6" x14ac:dyDescent="0.3">
      <c r="O418" s="16" t="s">
        <v>1</v>
      </c>
      <c r="P418" s="17">
        <v>41241</v>
      </c>
    </row>
    <row r="419" spans="15:16" ht="15.6" x14ac:dyDescent="0.3">
      <c r="O419" s="16" t="s">
        <v>2</v>
      </c>
      <c r="P419" s="17">
        <v>41242</v>
      </c>
    </row>
    <row r="420" spans="15:16" ht="15.6" x14ac:dyDescent="0.3">
      <c r="O420" s="16" t="s">
        <v>3</v>
      </c>
      <c r="P420" s="17">
        <v>41243</v>
      </c>
    </row>
    <row r="421" spans="15:16" ht="15.6" x14ac:dyDescent="0.3">
      <c r="O421" s="16" t="s">
        <v>4</v>
      </c>
      <c r="P421" s="17">
        <v>41244</v>
      </c>
    </row>
    <row r="422" spans="15:16" ht="15.6" x14ac:dyDescent="0.3">
      <c r="O422" s="16" t="s">
        <v>5</v>
      </c>
      <c r="P422" s="17">
        <v>41245</v>
      </c>
    </row>
    <row r="423" spans="15:16" ht="15.6" x14ac:dyDescent="0.3">
      <c r="O423" s="16" t="s">
        <v>6</v>
      </c>
      <c r="P423" s="17">
        <v>41246</v>
      </c>
    </row>
    <row r="424" spans="15:16" ht="15.6" x14ac:dyDescent="0.3">
      <c r="O424" s="16" t="s">
        <v>7</v>
      </c>
      <c r="P424" s="17">
        <v>41247</v>
      </c>
    </row>
    <row r="425" spans="15:16" ht="15.6" x14ac:dyDescent="0.3">
      <c r="O425" s="16" t="s">
        <v>8</v>
      </c>
      <c r="P425" s="17">
        <v>41248</v>
      </c>
    </row>
    <row r="426" spans="15:16" ht="15.6" x14ac:dyDescent="0.3">
      <c r="O426" s="16" t="s">
        <v>1</v>
      </c>
      <c r="P426" s="17">
        <v>41249</v>
      </c>
    </row>
    <row r="427" spans="15:16" ht="15.6" x14ac:dyDescent="0.3">
      <c r="O427" s="16" t="s">
        <v>2</v>
      </c>
      <c r="P427" s="17">
        <v>41250</v>
      </c>
    </row>
    <row r="428" spans="15:16" ht="15.6" x14ac:dyDescent="0.3">
      <c r="O428" s="16" t="s">
        <v>3</v>
      </c>
      <c r="P428" s="17">
        <v>41251</v>
      </c>
    </row>
    <row r="429" spans="15:16" ht="15.6" x14ac:dyDescent="0.3">
      <c r="O429" s="16" t="s">
        <v>4</v>
      </c>
      <c r="P429" s="17">
        <v>41252</v>
      </c>
    </row>
    <row r="430" spans="15:16" ht="15.6" x14ac:dyDescent="0.3">
      <c r="O430" s="16" t="s">
        <v>5</v>
      </c>
      <c r="P430" s="17">
        <v>41253</v>
      </c>
    </row>
    <row r="431" spans="15:16" ht="15.6" x14ac:dyDescent="0.3">
      <c r="O431" s="16" t="s">
        <v>6</v>
      </c>
      <c r="P431" s="17">
        <v>41254</v>
      </c>
    </row>
    <row r="432" spans="15:16" ht="15.6" x14ac:dyDescent="0.3">
      <c r="O432" s="16" t="s">
        <v>7</v>
      </c>
      <c r="P432" s="17">
        <v>41255</v>
      </c>
    </row>
    <row r="433" spans="15:16" ht="15.6" x14ac:dyDescent="0.3">
      <c r="O433" s="16" t="s">
        <v>8</v>
      </c>
      <c r="P433" s="17">
        <v>41256</v>
      </c>
    </row>
    <row r="434" spans="15:16" ht="15.6" x14ac:dyDescent="0.3">
      <c r="O434" s="16" t="s">
        <v>1</v>
      </c>
      <c r="P434" s="17">
        <v>41257</v>
      </c>
    </row>
    <row r="435" spans="15:16" ht="15.6" x14ac:dyDescent="0.3">
      <c r="O435" s="16" t="s">
        <v>2</v>
      </c>
      <c r="P435" s="17">
        <v>41258</v>
      </c>
    </row>
    <row r="436" spans="15:16" ht="15.6" x14ac:dyDescent="0.3">
      <c r="O436" s="16" t="s">
        <v>3</v>
      </c>
      <c r="P436" s="17">
        <v>41259</v>
      </c>
    </row>
    <row r="437" spans="15:16" ht="15.6" x14ac:dyDescent="0.3">
      <c r="O437" s="16" t="s">
        <v>4</v>
      </c>
      <c r="P437" s="17">
        <v>41260</v>
      </c>
    </row>
    <row r="438" spans="15:16" ht="15.6" x14ac:dyDescent="0.3">
      <c r="O438" s="16" t="s">
        <v>5</v>
      </c>
      <c r="P438" s="17">
        <v>41261</v>
      </c>
    </row>
    <row r="439" spans="15:16" ht="15.6" x14ac:dyDescent="0.3">
      <c r="O439" s="16" t="s">
        <v>6</v>
      </c>
      <c r="P439" s="17">
        <v>41262</v>
      </c>
    </row>
    <row r="440" spans="15:16" ht="15.6" x14ac:dyDescent="0.3">
      <c r="O440" s="16" t="s">
        <v>7</v>
      </c>
      <c r="P440" s="17">
        <v>41263</v>
      </c>
    </row>
  </sheetData>
  <mergeCells count="6">
    <mergeCell ref="D6:L6"/>
    <mergeCell ref="A6:A7"/>
    <mergeCell ref="A2:A3"/>
    <mergeCell ref="D7:L7"/>
    <mergeCell ref="D3:L3"/>
    <mergeCell ref="D2:L2"/>
  </mergeCells>
  <dataValidations count="1">
    <dataValidation type="list" allowBlank="1" showInputMessage="1" showErrorMessage="1" sqref="B3" xr:uid="{00000000-0002-0000-0000-000000000000}">
      <formula1>$M$1:$M$15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4"/>
  <sheetViews>
    <sheetView showGridLines="0" zoomScaleNormal="100" workbookViewId="0">
      <selection activeCell="B23" sqref="B23"/>
    </sheetView>
  </sheetViews>
  <sheetFormatPr defaultRowHeight="14.4" x14ac:dyDescent="0.3"/>
  <cols>
    <col min="1" max="1" width="23.44140625" customWidth="1"/>
    <col min="2" max="2" width="26.33203125" bestFit="1" customWidth="1"/>
    <col min="3" max="3" width="10.77734375" bestFit="1" customWidth="1"/>
    <col min="4" max="4" width="15" customWidth="1"/>
    <col min="5" max="5" width="8.77734375" customWidth="1"/>
    <col min="6" max="6" width="11.77734375" customWidth="1"/>
    <col min="7" max="7" width="33.88671875" bestFit="1" customWidth="1"/>
    <col min="9" max="9" width="9.21875" style="2"/>
  </cols>
  <sheetData>
    <row r="1" spans="1:9" ht="18.600000000000001" thickBot="1" x14ac:dyDescent="0.4">
      <c r="A1" s="22" t="s">
        <v>115</v>
      </c>
      <c r="B1" s="21"/>
      <c r="C1" s="21"/>
      <c r="D1" s="21"/>
      <c r="E1" s="21"/>
      <c r="F1" s="21"/>
      <c r="G1" s="20"/>
    </row>
    <row r="2" spans="1:9" ht="15.6" thickTop="1" thickBot="1" x14ac:dyDescent="0.35">
      <c r="A2" s="3"/>
      <c r="B2" s="3"/>
      <c r="C2" s="3"/>
      <c r="D2" s="25"/>
      <c r="E2" s="25"/>
      <c r="F2" s="25"/>
      <c r="G2" s="24"/>
    </row>
    <row r="3" spans="1:9" ht="19.2" thickTop="1" thickBot="1" x14ac:dyDescent="0.4">
      <c r="A3" s="27" t="s">
        <v>97</v>
      </c>
      <c r="B3" s="28"/>
      <c r="C3" s="29"/>
      <c r="D3" s="7"/>
      <c r="E3" s="7"/>
      <c r="F3" s="7"/>
      <c r="G3" s="30"/>
    </row>
    <row r="4" spans="1:9" ht="19.2" thickTop="1" thickBot="1" x14ac:dyDescent="0.4">
      <c r="A4" s="71">
        <v>40826</v>
      </c>
      <c r="B4" s="72">
        <v>40826</v>
      </c>
      <c r="C4" s="73">
        <v>40826</v>
      </c>
      <c r="D4" s="74">
        <v>40826</v>
      </c>
      <c r="E4" s="75">
        <v>40826</v>
      </c>
      <c r="F4" s="76">
        <v>40826</v>
      </c>
      <c r="G4" s="77">
        <v>40826</v>
      </c>
    </row>
    <row r="5" spans="1:9" ht="19.2" thickTop="1" thickBot="1" x14ac:dyDescent="0.4">
      <c r="A5" s="32">
        <v>40835.007638888892</v>
      </c>
      <c r="B5" s="129" t="str">
        <f>TEXT(A5,"dd mmmm yyyy")</f>
        <v>19 October 2011</v>
      </c>
      <c r="C5" s="33" t="str">
        <f>TEXT(A5,"dd,mm")</f>
        <v>19,10</v>
      </c>
      <c r="D5" s="34" t="str">
        <f>TEXT(A5,"mmmm dd")</f>
        <v>October 19</v>
      </c>
      <c r="E5" s="33" t="str">
        <f>TEXT(A5,"dd mmm")</f>
        <v>19 Oct</v>
      </c>
      <c r="F5" s="33" t="str">
        <f>TEXT(A5,"dd mmm yy")</f>
        <v>19 Oct 11</v>
      </c>
      <c r="G5" s="33" t="str">
        <f>TEXT(A5,"dddd,mmmm yyyy")</f>
        <v>Wednesday,October 2011</v>
      </c>
    </row>
    <row r="6" spans="1:9" ht="19.2" thickTop="1" thickBot="1" x14ac:dyDescent="0.4">
      <c r="A6" s="35">
        <v>40826.007638888892</v>
      </c>
      <c r="B6" s="129" t="str">
        <f t="shared" ref="B6:B16" si="0">TEXT(A6,"dd mmmm yyyy")</f>
        <v>10 October 2011</v>
      </c>
      <c r="C6" s="33" t="str">
        <f t="shared" ref="C6:C16" si="1">TEXT(A6,"dd,mm")</f>
        <v>10,10</v>
      </c>
      <c r="D6" s="34" t="str">
        <f t="shared" ref="D6:D16" si="2">TEXT(A6,"mmmm dd")</f>
        <v>October 10</v>
      </c>
      <c r="E6" s="33" t="str">
        <f t="shared" ref="E6:E16" si="3">TEXT(A6,"dd mmm")</f>
        <v>10 Oct</v>
      </c>
      <c r="F6" s="33" t="str">
        <f t="shared" ref="F6:F16" si="4">TEXT(A6,"dd mmm yy")</f>
        <v>10 Oct 11</v>
      </c>
      <c r="G6" s="33" t="str">
        <f t="shared" ref="G6:G16" si="5">TEXT(A6,"dddd,mmmm yyyy")</f>
        <v>Monday,October 2011</v>
      </c>
    </row>
    <row r="7" spans="1:9" ht="19.2" thickTop="1" thickBot="1" x14ac:dyDescent="0.4">
      <c r="A7" s="35">
        <v>40827.007638888892</v>
      </c>
      <c r="B7" s="129" t="str">
        <f t="shared" si="0"/>
        <v>11 October 2011</v>
      </c>
      <c r="C7" s="33" t="str">
        <f t="shared" si="1"/>
        <v>11,10</v>
      </c>
      <c r="D7" s="34" t="str">
        <f t="shared" si="2"/>
        <v>October 11</v>
      </c>
      <c r="E7" s="33" t="str">
        <f t="shared" si="3"/>
        <v>11 Oct</v>
      </c>
      <c r="F7" s="33" t="str">
        <f t="shared" si="4"/>
        <v>11 Oct 11</v>
      </c>
      <c r="G7" s="33" t="str">
        <f t="shared" si="5"/>
        <v>Tuesday,October 2011</v>
      </c>
    </row>
    <row r="8" spans="1:9" ht="19.2" thickTop="1" thickBot="1" x14ac:dyDescent="0.4">
      <c r="A8" s="35">
        <v>40828.007638888892</v>
      </c>
      <c r="B8" s="129" t="str">
        <f t="shared" si="0"/>
        <v>12 October 2011</v>
      </c>
      <c r="C8" s="33" t="str">
        <f t="shared" si="1"/>
        <v>12,10</v>
      </c>
      <c r="D8" s="34" t="str">
        <f t="shared" si="2"/>
        <v>October 12</v>
      </c>
      <c r="E8" s="33" t="str">
        <f t="shared" si="3"/>
        <v>12 Oct</v>
      </c>
      <c r="F8" s="33" t="str">
        <f t="shared" si="4"/>
        <v>12 Oct 11</v>
      </c>
      <c r="G8" s="33" t="str">
        <f t="shared" si="5"/>
        <v>Wednesday,October 2011</v>
      </c>
    </row>
    <row r="9" spans="1:9" ht="19.2" thickTop="1" thickBot="1" x14ac:dyDescent="0.4">
      <c r="A9" s="35">
        <v>40829.007638888892</v>
      </c>
      <c r="B9" s="129" t="str">
        <f t="shared" si="0"/>
        <v>13 October 2011</v>
      </c>
      <c r="C9" s="33" t="str">
        <f t="shared" si="1"/>
        <v>13,10</v>
      </c>
      <c r="D9" s="34" t="str">
        <f t="shared" si="2"/>
        <v>October 13</v>
      </c>
      <c r="E9" s="33" t="str">
        <f t="shared" si="3"/>
        <v>13 Oct</v>
      </c>
      <c r="F9" s="33" t="str">
        <f t="shared" si="4"/>
        <v>13 Oct 11</v>
      </c>
      <c r="G9" s="33" t="str">
        <f t="shared" si="5"/>
        <v>Thursday,October 2011</v>
      </c>
      <c r="I9" s="19"/>
    </row>
    <row r="10" spans="1:9" ht="19.2" thickTop="1" thickBot="1" x14ac:dyDescent="0.4">
      <c r="A10" s="35">
        <v>40830.007638888892</v>
      </c>
      <c r="B10" s="129" t="str">
        <f t="shared" si="0"/>
        <v>14 October 2011</v>
      </c>
      <c r="C10" s="33" t="str">
        <f t="shared" si="1"/>
        <v>14,10</v>
      </c>
      <c r="D10" s="34" t="str">
        <f t="shared" si="2"/>
        <v>October 14</v>
      </c>
      <c r="E10" s="33" t="str">
        <f t="shared" si="3"/>
        <v>14 Oct</v>
      </c>
      <c r="F10" s="33" t="str">
        <f t="shared" si="4"/>
        <v>14 Oct 11</v>
      </c>
      <c r="G10" s="33" t="str">
        <f t="shared" si="5"/>
        <v>Friday,October 2011</v>
      </c>
      <c r="I10"/>
    </row>
    <row r="11" spans="1:9" ht="19.2" thickTop="1" thickBot="1" x14ac:dyDescent="0.4">
      <c r="A11" s="35">
        <v>40831.007638888892</v>
      </c>
      <c r="B11" s="129" t="str">
        <f t="shared" si="0"/>
        <v>15 October 2011</v>
      </c>
      <c r="C11" s="33" t="str">
        <f t="shared" si="1"/>
        <v>15,10</v>
      </c>
      <c r="D11" s="34" t="str">
        <f t="shared" si="2"/>
        <v>October 15</v>
      </c>
      <c r="E11" s="33" t="str">
        <f t="shared" si="3"/>
        <v>15 Oct</v>
      </c>
      <c r="F11" s="33" t="str">
        <f t="shared" si="4"/>
        <v>15 Oct 11</v>
      </c>
      <c r="G11" s="33" t="str">
        <f t="shared" si="5"/>
        <v>Saturday,October 2011</v>
      </c>
    </row>
    <row r="12" spans="1:9" ht="19.2" thickTop="1" thickBot="1" x14ac:dyDescent="0.4">
      <c r="A12" s="35">
        <v>40832.007638888892</v>
      </c>
      <c r="B12" s="129" t="str">
        <f t="shared" si="0"/>
        <v>16 October 2011</v>
      </c>
      <c r="C12" s="33" t="str">
        <f t="shared" si="1"/>
        <v>16,10</v>
      </c>
      <c r="D12" s="34" t="str">
        <f t="shared" si="2"/>
        <v>October 16</v>
      </c>
      <c r="E12" s="33" t="str">
        <f t="shared" si="3"/>
        <v>16 Oct</v>
      </c>
      <c r="F12" s="33" t="str">
        <f t="shared" si="4"/>
        <v>16 Oct 11</v>
      </c>
      <c r="G12" s="33" t="str">
        <f t="shared" si="5"/>
        <v>Sunday,October 2011</v>
      </c>
      <c r="H12" s="26"/>
    </row>
    <row r="13" spans="1:9" ht="19.2" thickTop="1" thickBot="1" x14ac:dyDescent="0.4">
      <c r="A13" s="36">
        <v>40833.007638888892</v>
      </c>
      <c r="B13" s="129" t="str">
        <f t="shared" si="0"/>
        <v>17 October 2011</v>
      </c>
      <c r="C13" s="33" t="str">
        <f t="shared" si="1"/>
        <v>17,10</v>
      </c>
      <c r="D13" s="34" t="str">
        <f t="shared" si="2"/>
        <v>October 17</v>
      </c>
      <c r="E13" s="33" t="str">
        <f t="shared" si="3"/>
        <v>17 Oct</v>
      </c>
      <c r="F13" s="33" t="str">
        <f t="shared" si="4"/>
        <v>17 Oct 11</v>
      </c>
      <c r="G13" s="33" t="str">
        <f t="shared" si="5"/>
        <v>Monday,October 2011</v>
      </c>
      <c r="I13"/>
    </row>
    <row r="14" spans="1:9" ht="19.2" thickTop="1" thickBot="1" x14ac:dyDescent="0.4">
      <c r="A14" s="36">
        <v>40834.007638888892</v>
      </c>
      <c r="B14" s="129" t="str">
        <f t="shared" si="0"/>
        <v>18 October 2011</v>
      </c>
      <c r="C14" s="33" t="str">
        <f t="shared" si="1"/>
        <v>18,10</v>
      </c>
      <c r="D14" s="34" t="str">
        <f t="shared" si="2"/>
        <v>October 18</v>
      </c>
      <c r="E14" s="33" t="str">
        <f t="shared" si="3"/>
        <v>18 Oct</v>
      </c>
      <c r="F14" s="33" t="str">
        <f t="shared" si="4"/>
        <v>18 Oct 11</v>
      </c>
      <c r="G14" s="33" t="str">
        <f t="shared" si="5"/>
        <v>Tuesday,October 2011</v>
      </c>
    </row>
    <row r="15" spans="1:9" ht="19.2" thickTop="1" thickBot="1" x14ac:dyDescent="0.4">
      <c r="A15" s="36">
        <v>40835.007638888892</v>
      </c>
      <c r="B15" s="129" t="str">
        <f t="shared" si="0"/>
        <v>19 October 2011</v>
      </c>
      <c r="C15" s="33" t="str">
        <f t="shared" si="1"/>
        <v>19,10</v>
      </c>
      <c r="D15" s="34" t="str">
        <f t="shared" si="2"/>
        <v>October 19</v>
      </c>
      <c r="E15" s="33" t="str">
        <f t="shared" si="3"/>
        <v>19 Oct</v>
      </c>
      <c r="F15" s="33" t="str">
        <f t="shared" si="4"/>
        <v>19 Oct 11</v>
      </c>
      <c r="G15" s="33" t="str">
        <f t="shared" si="5"/>
        <v>Wednesday,October 2011</v>
      </c>
    </row>
    <row r="16" spans="1:9" ht="19.2" thickTop="1" thickBot="1" x14ac:dyDescent="0.4">
      <c r="A16" s="37">
        <v>40836.007638888892</v>
      </c>
      <c r="B16" s="129" t="str">
        <f t="shared" si="0"/>
        <v>20 October 2011</v>
      </c>
      <c r="C16" s="33" t="str">
        <f t="shared" si="1"/>
        <v>20,10</v>
      </c>
      <c r="D16" s="34" t="str">
        <f t="shared" si="2"/>
        <v>October 20</v>
      </c>
      <c r="E16" s="33" t="str">
        <f t="shared" si="3"/>
        <v>20 Oct</v>
      </c>
      <c r="F16" s="33" t="str">
        <f t="shared" si="4"/>
        <v>20 Oct 11</v>
      </c>
      <c r="G16" s="33" t="str">
        <f t="shared" si="5"/>
        <v>Thursday,October 2011</v>
      </c>
    </row>
    <row r="17" spans="1:6" ht="15" thickTop="1" x14ac:dyDescent="0.3">
      <c r="A17" s="23"/>
      <c r="B17" s="23"/>
      <c r="C17" s="23"/>
      <c r="D17" s="23"/>
      <c r="F17" s="23"/>
    </row>
    <row r="20" spans="1:6" x14ac:dyDescent="0.3">
      <c r="A20" s="130"/>
    </row>
    <row r="24" spans="1:6" x14ac:dyDescent="0.3">
      <c r="C24" s="1"/>
    </row>
  </sheetData>
  <phoneticPr fontId="1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19"/>
  <sheetViews>
    <sheetView showGridLines="0" zoomScaleNormal="100" workbookViewId="0">
      <selection activeCell="D7" sqref="D7"/>
    </sheetView>
  </sheetViews>
  <sheetFormatPr defaultRowHeight="14.4" x14ac:dyDescent="0.3"/>
  <cols>
    <col min="1" max="1" width="25.5546875" customWidth="1"/>
    <col min="2" max="2" width="15" bestFit="1" customWidth="1"/>
    <col min="3" max="3" width="14.77734375" bestFit="1" customWidth="1"/>
    <col min="4" max="4" width="12.77734375" customWidth="1"/>
    <col min="5" max="5" width="9.6640625" customWidth="1"/>
    <col min="6" max="6" width="25.21875" customWidth="1"/>
    <col min="7" max="7" width="26.44140625" customWidth="1"/>
    <col min="8" max="8" width="25.33203125" customWidth="1"/>
    <col min="9" max="9" width="21.6640625" bestFit="1" customWidth="1"/>
  </cols>
  <sheetData>
    <row r="1" spans="1:10" ht="19.2" thickTop="1" thickBot="1" x14ac:dyDescent="0.4">
      <c r="A1" s="89" t="s">
        <v>118</v>
      </c>
      <c r="B1" s="41"/>
      <c r="C1" s="40"/>
      <c r="D1" s="41"/>
      <c r="E1" s="41"/>
      <c r="F1" s="41"/>
      <c r="G1" s="41"/>
      <c r="H1" s="41"/>
      <c r="I1" s="45"/>
      <c r="J1" s="26"/>
    </row>
    <row r="2" spans="1:10" s="18" customFormat="1" ht="19.2" thickTop="1" thickBot="1" x14ac:dyDescent="0.4">
      <c r="A2" s="88"/>
      <c r="B2" s="87"/>
      <c r="C2" s="92"/>
      <c r="D2" s="91"/>
      <c r="E2" s="91"/>
      <c r="F2" s="92"/>
      <c r="G2" s="91"/>
      <c r="H2" s="91"/>
      <c r="I2" s="87"/>
      <c r="J2" s="90"/>
    </row>
    <row r="3" spans="1:10" ht="19.2" thickTop="1" thickBot="1" x14ac:dyDescent="0.4">
      <c r="A3" s="86" t="s">
        <v>97</v>
      </c>
      <c r="B3" s="28"/>
      <c r="C3" s="29"/>
      <c r="D3" s="7"/>
      <c r="E3" s="7"/>
      <c r="F3" s="29"/>
      <c r="G3" s="7"/>
      <c r="H3" s="28"/>
      <c r="I3" s="30"/>
    </row>
    <row r="4" spans="1:10" ht="16.8" thickTop="1" thickBot="1" x14ac:dyDescent="0.35">
      <c r="A4" s="85" t="s">
        <v>30</v>
      </c>
      <c r="B4" s="83" t="s">
        <v>31</v>
      </c>
      <c r="C4" s="83" t="s">
        <v>32</v>
      </c>
      <c r="D4" s="83" t="s">
        <v>33</v>
      </c>
      <c r="E4" s="83" t="s">
        <v>34</v>
      </c>
      <c r="F4" s="83" t="s">
        <v>35</v>
      </c>
      <c r="G4" s="83" t="s">
        <v>36</v>
      </c>
      <c r="H4" s="83" t="s">
        <v>37</v>
      </c>
      <c r="I4" s="83" t="s">
        <v>38</v>
      </c>
      <c r="J4" s="26"/>
    </row>
    <row r="5" spans="1:10" ht="16.8" thickTop="1" thickBot="1" x14ac:dyDescent="0.35">
      <c r="A5" s="78" t="s">
        <v>39</v>
      </c>
      <c r="B5" s="82" t="str">
        <f>LEFT(A5,FIND(" ",A5))</f>
        <v xml:space="preserve">Rohit </v>
      </c>
      <c r="C5" s="82" t="str">
        <f>TRIM(RIGHT(SUBSTITUTE(A5," ",REPT(" ",50)),50))</f>
        <v>Gupta</v>
      </c>
      <c r="D5" s="82"/>
      <c r="E5" s="82">
        <f>LEN(A5)</f>
        <v>11</v>
      </c>
      <c r="F5" s="82">
        <f>SEARCH(" ",B5)</f>
        <v>6</v>
      </c>
      <c r="G5" s="82">
        <f>IFERROR(SEARCH(" ",A5,SEARCH(" ",A5)+1),0)</f>
        <v>0</v>
      </c>
      <c r="H5" s="82" t="str">
        <f>SUBSTITUTE(A5," ","-")</f>
        <v>Rohit-Gupta</v>
      </c>
      <c r="I5" s="94">
        <f>LEN(A5)-LEN(SUBSTITUTE(A5," ",""))</f>
        <v>1</v>
      </c>
    </row>
    <row r="6" spans="1:10" ht="16.8" thickTop="1" thickBot="1" x14ac:dyDescent="0.35">
      <c r="A6" s="79" t="s">
        <v>40</v>
      </c>
      <c r="B6" s="82" t="str">
        <f t="shared" ref="B6:B11" si="0">LEFT(A6,FIND(" ",A6))</f>
        <v xml:space="preserve">Sanjeev </v>
      </c>
      <c r="C6" s="82" t="str">
        <f t="shared" ref="C6:C11" si="1">TRIM(RIGHT(SUBSTITUTE(A6," ",REPT(" ",100)),100))</f>
        <v>kumar</v>
      </c>
      <c r="D6" s="81"/>
      <c r="E6" s="82">
        <f t="shared" ref="E6:E11" si="2">LEN(A6)</f>
        <v>13</v>
      </c>
      <c r="F6" s="82">
        <f t="shared" ref="F6:F11" si="3">SEARCH(" ",B6)</f>
        <v>8</v>
      </c>
      <c r="G6" s="82">
        <f t="shared" ref="G6:G11" si="4">IFERROR(SEARCH(" ",A6,SEARCH(" ",A6)+1),0)</f>
        <v>0</v>
      </c>
      <c r="H6" s="82" t="str">
        <f t="shared" ref="H6:H11" si="5">SUBSTITUTE(A6," ","-")</f>
        <v>Sanjeev-kumar</v>
      </c>
      <c r="I6" s="94">
        <f t="shared" ref="I6:I11" si="6">LEN(A6)-LEN(SUBSTITUTE(A6," ",""))</f>
        <v>1</v>
      </c>
    </row>
    <row r="7" spans="1:10" ht="16.8" thickTop="1" thickBot="1" x14ac:dyDescent="0.35">
      <c r="A7" s="80" t="s">
        <v>41</v>
      </c>
      <c r="B7" s="82" t="str">
        <f t="shared" si="0"/>
        <v xml:space="preserve">Rohit </v>
      </c>
      <c r="C7" s="82" t="str">
        <f t="shared" si="1"/>
        <v>Gupta</v>
      </c>
      <c r="D7" s="93" t="str">
        <f>MID(A7,FIND(" ",A7)+1,SEARCH(" ",A7,SEARCH(" ",A7)+1)-SEARCH(" ",A7))</f>
        <v xml:space="preserve">Kumar </v>
      </c>
      <c r="E7" s="82">
        <f t="shared" si="2"/>
        <v>17</v>
      </c>
      <c r="F7" s="82">
        <f t="shared" si="3"/>
        <v>6</v>
      </c>
      <c r="G7" s="82">
        <f t="shared" si="4"/>
        <v>12</v>
      </c>
      <c r="H7" s="82" t="str">
        <f t="shared" si="5"/>
        <v>Rohit-Kumar-Gupta</v>
      </c>
      <c r="I7" s="94">
        <f t="shared" si="6"/>
        <v>2</v>
      </c>
      <c r="J7" s="26"/>
    </row>
    <row r="8" spans="1:10" ht="16.8" thickTop="1" thickBot="1" x14ac:dyDescent="0.35">
      <c r="A8" s="79" t="s">
        <v>42</v>
      </c>
      <c r="B8" s="82" t="str">
        <f t="shared" si="0"/>
        <v xml:space="preserve">Naveen </v>
      </c>
      <c r="C8" s="82" t="str">
        <f t="shared" si="1"/>
        <v>Singh</v>
      </c>
      <c r="D8" s="93" t="str">
        <f t="shared" ref="D8:D11" si="7">MID(A8,FIND(" ",A8)+1,SEARCH(" ",A8,SEARCH(" ",A8)+1)-SEARCH(" ",A8))</f>
        <v xml:space="preserve">Chauhan </v>
      </c>
      <c r="E8" s="82">
        <f t="shared" si="2"/>
        <v>20</v>
      </c>
      <c r="F8" s="82">
        <f t="shared" si="3"/>
        <v>7</v>
      </c>
      <c r="G8" s="82">
        <f t="shared" si="4"/>
        <v>15</v>
      </c>
      <c r="H8" s="82" t="str">
        <f t="shared" si="5"/>
        <v>Naveen-Chauhan-Singh</v>
      </c>
      <c r="I8" s="94">
        <f t="shared" si="6"/>
        <v>2</v>
      </c>
    </row>
    <row r="9" spans="1:10" ht="16.8" thickTop="1" thickBot="1" x14ac:dyDescent="0.35">
      <c r="A9" s="79" t="s">
        <v>43</v>
      </c>
      <c r="B9" s="82" t="str">
        <f t="shared" si="0"/>
        <v xml:space="preserve">Arti </v>
      </c>
      <c r="C9" s="82" t="str">
        <f t="shared" si="1"/>
        <v>Chauhan</v>
      </c>
      <c r="D9" s="93" t="str">
        <f t="shared" si="7"/>
        <v xml:space="preserve">Singh </v>
      </c>
      <c r="E9" s="82">
        <f t="shared" si="2"/>
        <v>18</v>
      </c>
      <c r="F9" s="82">
        <f t="shared" si="3"/>
        <v>5</v>
      </c>
      <c r="G9" s="82">
        <f t="shared" si="4"/>
        <v>11</v>
      </c>
      <c r="H9" s="82" t="str">
        <f t="shared" si="5"/>
        <v>Arti-Singh-Chauhan</v>
      </c>
      <c r="I9" s="94">
        <f t="shared" si="6"/>
        <v>2</v>
      </c>
    </row>
    <row r="10" spans="1:10" ht="16.8" thickTop="1" thickBot="1" x14ac:dyDescent="0.35">
      <c r="A10" s="80" t="s">
        <v>44</v>
      </c>
      <c r="B10" s="82" t="str">
        <f t="shared" si="0"/>
        <v xml:space="preserve">Rohit </v>
      </c>
      <c r="C10" s="82" t="str">
        <f t="shared" si="1"/>
        <v>Man</v>
      </c>
      <c r="D10" s="93" t="str">
        <f t="shared" si="7"/>
        <v xml:space="preserve">Arora </v>
      </c>
      <c r="E10" s="82">
        <f t="shared" si="2"/>
        <v>15</v>
      </c>
      <c r="F10" s="82">
        <f t="shared" si="3"/>
        <v>6</v>
      </c>
      <c r="G10" s="82">
        <f t="shared" si="4"/>
        <v>12</v>
      </c>
      <c r="H10" s="82" t="str">
        <f t="shared" si="5"/>
        <v>Rohit-Arora-Man</v>
      </c>
      <c r="I10" s="94">
        <f t="shared" si="6"/>
        <v>2</v>
      </c>
    </row>
    <row r="11" spans="1:10" ht="16.8" thickTop="1" thickBot="1" x14ac:dyDescent="0.35">
      <c r="A11" s="84" t="s">
        <v>45</v>
      </c>
      <c r="B11" s="82" t="str">
        <f t="shared" si="0"/>
        <v xml:space="preserve">Rahul </v>
      </c>
      <c r="C11" s="82" t="str">
        <f t="shared" si="1"/>
        <v>verma</v>
      </c>
      <c r="D11" s="93" t="str">
        <f t="shared" si="7"/>
        <v xml:space="preserve">badhe </v>
      </c>
      <c r="E11" s="82">
        <f t="shared" si="2"/>
        <v>17</v>
      </c>
      <c r="F11" s="82">
        <f t="shared" si="3"/>
        <v>6</v>
      </c>
      <c r="G11" s="82">
        <f t="shared" si="4"/>
        <v>12</v>
      </c>
      <c r="H11" s="82" t="str">
        <f t="shared" si="5"/>
        <v>Rahul-badhe-verma</v>
      </c>
      <c r="I11" s="94">
        <f t="shared" si="6"/>
        <v>2</v>
      </c>
    </row>
    <row r="12" spans="1:10" ht="15" thickTop="1" x14ac:dyDescent="0.3"/>
    <row r="19" spans="4:4" x14ac:dyDescent="0.3">
      <c r="D1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77B0-FC76-471D-B6B7-6F5D1B5D4B6B}">
  <dimension ref="A1:I12"/>
  <sheetViews>
    <sheetView showGridLines="0" workbookViewId="0">
      <selection activeCell="J10" sqref="J10"/>
    </sheetView>
  </sheetViews>
  <sheetFormatPr defaultRowHeight="14.4" x14ac:dyDescent="0.3"/>
  <sheetData>
    <row r="1" spans="1:9" ht="22.2" thickTop="1" thickBot="1" x14ac:dyDescent="0.35">
      <c r="A1" s="155" t="s">
        <v>128</v>
      </c>
      <c r="B1" s="156"/>
      <c r="C1" s="156"/>
      <c r="D1" s="156"/>
      <c r="E1" s="156"/>
      <c r="F1" s="156"/>
      <c r="G1" s="156"/>
      <c r="H1" s="157"/>
      <c r="I1" s="26"/>
    </row>
    <row r="2" spans="1:9" ht="15.6" thickTop="1" thickBot="1" x14ac:dyDescent="0.35">
      <c r="A2" s="43"/>
      <c r="B2" s="23"/>
      <c r="C2" s="23"/>
      <c r="D2" s="23"/>
      <c r="F2" s="23"/>
    </row>
    <row r="3" spans="1:9" ht="19.2" thickTop="1" thickBot="1" x14ac:dyDescent="0.35">
      <c r="A3" s="115" t="s">
        <v>129</v>
      </c>
      <c r="B3" s="158" t="s">
        <v>119</v>
      </c>
      <c r="C3" s="146"/>
      <c r="D3" s="146"/>
      <c r="E3" s="146"/>
      <c r="F3" s="146"/>
      <c r="G3" s="146"/>
      <c r="H3" s="147"/>
    </row>
    <row r="4" spans="1:9" ht="18" thickTop="1" x14ac:dyDescent="0.35">
      <c r="A4" s="114">
        <v>1</v>
      </c>
      <c r="B4" s="159" t="s">
        <v>122</v>
      </c>
      <c r="C4" s="160"/>
      <c r="D4" s="160"/>
      <c r="E4" s="160"/>
      <c r="F4" s="160"/>
      <c r="G4" s="160"/>
      <c r="H4" s="161"/>
    </row>
    <row r="5" spans="1:9" ht="17.399999999999999" x14ac:dyDescent="0.35">
      <c r="A5" s="112">
        <v>2</v>
      </c>
      <c r="B5" s="159" t="s">
        <v>124</v>
      </c>
      <c r="C5" s="160"/>
      <c r="D5" s="160"/>
      <c r="E5" s="160"/>
      <c r="F5" s="160"/>
      <c r="G5" s="160"/>
      <c r="H5" s="161"/>
      <c r="I5" s="26"/>
    </row>
    <row r="6" spans="1:9" ht="18" thickBot="1" x14ac:dyDescent="0.4">
      <c r="A6" s="113">
        <v>3</v>
      </c>
      <c r="B6" s="162" t="s">
        <v>126</v>
      </c>
      <c r="C6" s="163"/>
      <c r="D6" s="163"/>
      <c r="E6" s="163"/>
      <c r="F6" s="163"/>
      <c r="G6" s="163"/>
      <c r="H6" s="164"/>
      <c r="I6" s="26"/>
    </row>
    <row r="7" spans="1:9" ht="15.6" thickTop="1" thickBot="1" x14ac:dyDescent="0.35"/>
    <row r="8" spans="1:9" ht="18.45" customHeight="1" thickTop="1" thickBot="1" x14ac:dyDescent="0.35">
      <c r="A8" s="142" t="s">
        <v>97</v>
      </c>
      <c r="B8" s="145" t="s">
        <v>120</v>
      </c>
      <c r="C8" s="146"/>
      <c r="D8" s="146"/>
      <c r="E8" s="145" t="s">
        <v>121</v>
      </c>
      <c r="F8" s="146"/>
      <c r="G8" s="146"/>
      <c r="H8" s="147"/>
    </row>
    <row r="9" spans="1:9" ht="14.55" customHeight="1" thickTop="1" thickBot="1" x14ac:dyDescent="0.4">
      <c r="A9" s="143"/>
      <c r="B9" s="151" t="s">
        <v>123</v>
      </c>
      <c r="C9" s="152"/>
      <c r="D9" s="153"/>
      <c r="E9" s="148">
        <f>(LEN(B4)-LEN(SUBSTITUTE(B4,B9,"")))/LEN(B9)</f>
        <v>3</v>
      </c>
      <c r="F9" s="149"/>
      <c r="G9" s="149"/>
      <c r="H9" s="150"/>
    </row>
    <row r="10" spans="1:9" ht="14.55" customHeight="1" thickTop="1" thickBot="1" x14ac:dyDescent="0.4">
      <c r="A10" s="143"/>
      <c r="B10" s="154" t="s">
        <v>125</v>
      </c>
      <c r="C10" s="154"/>
      <c r="D10" s="154"/>
      <c r="E10" s="148">
        <f t="shared" ref="E10:E11" si="0">(LEN(B5)-LEN(SUBSTITUTE(B5,B10,"")))/LEN(B10)</f>
        <v>2</v>
      </c>
      <c r="F10" s="149"/>
      <c r="G10" s="149"/>
      <c r="H10" s="150"/>
    </row>
    <row r="11" spans="1:9" ht="14.55" customHeight="1" thickTop="1" thickBot="1" x14ac:dyDescent="0.4">
      <c r="A11" s="144"/>
      <c r="B11" s="154" t="s">
        <v>127</v>
      </c>
      <c r="C11" s="154"/>
      <c r="D11" s="154"/>
      <c r="E11" s="148">
        <f t="shared" si="0"/>
        <v>4</v>
      </c>
      <c r="F11" s="149"/>
      <c r="G11" s="149"/>
      <c r="H11" s="150"/>
      <c r="I11" s="26"/>
    </row>
    <row r="12" spans="1:9" ht="15" thickTop="1" x14ac:dyDescent="0.3">
      <c r="B12" s="23"/>
      <c r="C12" s="23"/>
      <c r="D12" s="23"/>
    </row>
  </sheetData>
  <mergeCells count="14">
    <mergeCell ref="A1:H1"/>
    <mergeCell ref="B3:H3"/>
    <mergeCell ref="B4:H4"/>
    <mergeCell ref="B5:H5"/>
    <mergeCell ref="B6:H6"/>
    <mergeCell ref="A8:A11"/>
    <mergeCell ref="E8:H8"/>
    <mergeCell ref="E9:H9"/>
    <mergeCell ref="E10:H10"/>
    <mergeCell ref="E11:H11"/>
    <mergeCell ref="B8:D8"/>
    <mergeCell ref="B9:D9"/>
    <mergeCell ref="B10:D10"/>
    <mergeCell ref="B11:D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1BF2-99F4-4FA4-B0D4-0C3F976345C6}">
  <dimension ref="A1:M12"/>
  <sheetViews>
    <sheetView showGridLines="0" topLeftCell="A3" workbookViewId="0">
      <selection activeCell="C14" sqref="C14"/>
    </sheetView>
  </sheetViews>
  <sheetFormatPr defaultRowHeight="14.4" x14ac:dyDescent="0.3"/>
  <cols>
    <col min="4" max="4" width="10" customWidth="1"/>
  </cols>
  <sheetData>
    <row r="1" spans="1:13" ht="22.05" customHeight="1" thickTop="1" x14ac:dyDescent="0.3">
      <c r="A1" s="165" t="s">
        <v>140</v>
      </c>
      <c r="B1" s="166"/>
      <c r="C1" s="166"/>
      <c r="D1" s="166"/>
      <c r="E1" s="166"/>
      <c r="F1" s="166"/>
      <c r="G1" s="166"/>
      <c r="H1" s="166"/>
      <c r="I1" s="166"/>
      <c r="J1" s="167"/>
    </row>
    <row r="2" spans="1:13" ht="22.05" customHeight="1" thickBot="1" x14ac:dyDescent="0.35">
      <c r="A2" s="168"/>
      <c r="B2" s="169"/>
      <c r="C2" s="169"/>
      <c r="D2" s="169"/>
      <c r="E2" s="169"/>
      <c r="F2" s="169"/>
      <c r="G2" s="169"/>
      <c r="H2" s="169"/>
      <c r="I2" s="169"/>
      <c r="J2" s="170"/>
    </row>
    <row r="3" spans="1:13" s="18" customFormat="1" ht="22.05" customHeight="1" thickTop="1" thickBot="1" x14ac:dyDescent="0.35">
      <c r="A3" s="122"/>
      <c r="B3" s="117"/>
      <c r="C3" s="117"/>
      <c r="D3" s="117"/>
      <c r="E3" s="123"/>
      <c r="F3" s="117"/>
      <c r="G3" s="117"/>
      <c r="H3" s="117"/>
      <c r="I3" s="117"/>
      <c r="J3" s="117"/>
      <c r="K3" s="117"/>
    </row>
    <row r="4" spans="1:13" s="18" customFormat="1" ht="22.05" customHeight="1" thickTop="1" thickBot="1" x14ac:dyDescent="0.35">
      <c r="A4" s="171" t="s">
        <v>97</v>
      </c>
      <c r="B4" s="171"/>
      <c r="C4" s="171"/>
      <c r="D4" s="171"/>
      <c r="E4" s="171"/>
      <c r="F4" s="171"/>
      <c r="G4" s="171"/>
      <c r="H4" s="171"/>
      <c r="I4" s="171"/>
      <c r="J4" s="172"/>
      <c r="K4" s="120"/>
      <c r="M4"/>
    </row>
    <row r="5" spans="1:13" ht="19.2" thickTop="1" thickBot="1" x14ac:dyDescent="0.35">
      <c r="A5" s="116" t="s">
        <v>141</v>
      </c>
      <c r="B5" s="145" t="s">
        <v>120</v>
      </c>
      <c r="C5" s="146"/>
      <c r="D5" s="147"/>
      <c r="E5" s="145" t="s">
        <v>139</v>
      </c>
      <c r="F5" s="147"/>
      <c r="G5" s="145" t="s">
        <v>138</v>
      </c>
      <c r="H5" s="146"/>
      <c r="I5" s="146"/>
      <c r="J5" s="147"/>
    </row>
    <row r="6" spans="1:13" ht="18.600000000000001" thickTop="1" thickBot="1" x14ac:dyDescent="0.35">
      <c r="A6" s="119">
        <v>1</v>
      </c>
      <c r="B6" s="176" t="s">
        <v>137</v>
      </c>
      <c r="C6" s="180"/>
      <c r="D6" s="177"/>
      <c r="E6" s="176" t="s">
        <v>133</v>
      </c>
      <c r="F6" s="177"/>
      <c r="G6" s="173" t="str">
        <f>PROPER(IF(E6="F","Mrs.","Mrs.")&amp;RIGHT(B6,LEN(B6)-SEARCH(",",B6))&amp;" "&amp;LEFT(B6,SEARCH(",",B6)-1))</f>
        <v>Mrs.Bharti Gupta</v>
      </c>
      <c r="H6" s="174"/>
      <c r="I6" s="174"/>
      <c r="J6" s="175"/>
      <c r="K6" s="26"/>
    </row>
    <row r="7" spans="1:13" ht="18.600000000000001" thickTop="1" thickBot="1" x14ac:dyDescent="0.35">
      <c r="A7" s="121">
        <v>2</v>
      </c>
      <c r="B7" s="181" t="s">
        <v>136</v>
      </c>
      <c r="C7" s="181"/>
      <c r="D7" s="181"/>
      <c r="E7" s="178" t="s">
        <v>130</v>
      </c>
      <c r="F7" s="179"/>
      <c r="G7" s="173" t="str">
        <f t="shared" ref="G7:G11" si="0">PROPER(IF(E7="F","Mrs.","Mrs.")&amp;RIGHT(B7,LEN(B7)-SEARCH(",",B7))&amp;" "&amp;LEFT(B7,SEARCH(",",B7)-1))</f>
        <v>Mrs.Chandan Negi</v>
      </c>
      <c r="H7" s="174"/>
      <c r="I7" s="174"/>
      <c r="J7" s="175"/>
      <c r="K7" s="26"/>
    </row>
    <row r="8" spans="1:13" ht="18.600000000000001" thickTop="1" thickBot="1" x14ac:dyDescent="0.35">
      <c r="A8" s="118">
        <v>3</v>
      </c>
      <c r="B8" s="178" t="s">
        <v>135</v>
      </c>
      <c r="C8" s="181"/>
      <c r="D8" s="179"/>
      <c r="E8" s="178" t="s">
        <v>133</v>
      </c>
      <c r="F8" s="179"/>
      <c r="G8" s="173" t="str">
        <f t="shared" si="0"/>
        <v>Mrs.Neha Malhotra</v>
      </c>
      <c r="H8" s="174"/>
      <c r="I8" s="174"/>
      <c r="J8" s="175"/>
      <c r="K8" s="26"/>
    </row>
    <row r="9" spans="1:13" ht="18.600000000000001" thickTop="1" thickBot="1" x14ac:dyDescent="0.35">
      <c r="A9" s="118">
        <v>4</v>
      </c>
      <c r="B9" s="178" t="s">
        <v>134</v>
      </c>
      <c r="C9" s="181"/>
      <c r="D9" s="179"/>
      <c r="E9" s="178" t="s">
        <v>133</v>
      </c>
      <c r="F9" s="179"/>
      <c r="G9" s="173" t="str">
        <f t="shared" si="0"/>
        <v>Mrs.Daljeet Kaur</v>
      </c>
      <c r="H9" s="174"/>
      <c r="I9" s="174"/>
      <c r="J9" s="175"/>
      <c r="K9" s="26"/>
    </row>
    <row r="10" spans="1:13" ht="18.600000000000001" thickTop="1" thickBot="1" x14ac:dyDescent="0.35">
      <c r="A10" s="118">
        <v>5</v>
      </c>
      <c r="B10" s="178" t="s">
        <v>132</v>
      </c>
      <c r="C10" s="181"/>
      <c r="D10" s="179"/>
      <c r="E10" s="178" t="s">
        <v>130</v>
      </c>
      <c r="F10" s="179"/>
      <c r="G10" s="173" t="str">
        <f t="shared" si="0"/>
        <v>Mrs.Virit Shukla</v>
      </c>
      <c r="H10" s="174"/>
      <c r="I10" s="174"/>
      <c r="J10" s="175"/>
      <c r="K10" s="26"/>
    </row>
    <row r="11" spans="1:13" ht="18.600000000000001" thickTop="1" thickBot="1" x14ac:dyDescent="0.35">
      <c r="A11" s="118">
        <v>6</v>
      </c>
      <c r="B11" s="182" t="s">
        <v>131</v>
      </c>
      <c r="C11" s="183"/>
      <c r="D11" s="184"/>
      <c r="E11" s="178" t="s">
        <v>130</v>
      </c>
      <c r="F11" s="179"/>
      <c r="G11" s="173" t="str">
        <f t="shared" si="0"/>
        <v>Mrs.Priyank Agarwal</v>
      </c>
      <c r="H11" s="174"/>
      <c r="I11" s="174"/>
      <c r="J11" s="175"/>
    </row>
    <row r="12" spans="1:13" ht="15" thickTop="1" x14ac:dyDescent="0.3">
      <c r="A12" s="23"/>
      <c r="E12" s="23"/>
      <c r="F12" s="23"/>
    </row>
  </sheetData>
  <mergeCells count="23">
    <mergeCell ref="G8:J8"/>
    <mergeCell ref="G9:J9"/>
    <mergeCell ref="G10:J10"/>
    <mergeCell ref="G11:J11"/>
    <mergeCell ref="B10:D10"/>
    <mergeCell ref="B11:D11"/>
    <mergeCell ref="E8:F8"/>
    <mergeCell ref="E9:F9"/>
    <mergeCell ref="E10:F10"/>
    <mergeCell ref="E11:F11"/>
    <mergeCell ref="B8:D8"/>
    <mergeCell ref="B9:D9"/>
    <mergeCell ref="A1:J2"/>
    <mergeCell ref="A4:J4"/>
    <mergeCell ref="G5:J5"/>
    <mergeCell ref="G6:J6"/>
    <mergeCell ref="G7:J7"/>
    <mergeCell ref="E6:F6"/>
    <mergeCell ref="E7:F7"/>
    <mergeCell ref="E5:F5"/>
    <mergeCell ref="B6:D6"/>
    <mergeCell ref="B7:D7"/>
    <mergeCell ref="B5:D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06EB-40E2-42A0-BDCD-BC8C13BCA991}">
  <dimension ref="A1:I9"/>
  <sheetViews>
    <sheetView showGridLines="0" tabSelected="1" workbookViewId="0">
      <selection activeCell="H11" sqref="H11"/>
    </sheetView>
  </sheetViews>
  <sheetFormatPr defaultRowHeight="14.4" x14ac:dyDescent="0.3"/>
  <cols>
    <col min="8" max="8" width="16" customWidth="1"/>
  </cols>
  <sheetData>
    <row r="1" spans="1:9" ht="18" x14ac:dyDescent="0.3">
      <c r="A1" s="189" t="s">
        <v>148</v>
      </c>
      <c r="B1" s="190"/>
      <c r="C1" s="190"/>
      <c r="D1" s="190"/>
      <c r="E1" s="190"/>
      <c r="F1" s="190"/>
      <c r="G1" s="190"/>
      <c r="H1" s="190"/>
    </row>
    <row r="2" spans="1:9" ht="15" thickBot="1" x14ac:dyDescent="0.35"/>
    <row r="3" spans="1:9" ht="19.2" thickTop="1" thickBot="1" x14ac:dyDescent="0.35">
      <c r="A3" s="185" t="s">
        <v>97</v>
      </c>
      <c r="B3" s="186"/>
      <c r="C3" s="186"/>
      <c r="D3" s="186"/>
      <c r="E3" s="186"/>
      <c r="F3" s="186"/>
      <c r="G3" s="186"/>
      <c r="H3" s="186"/>
      <c r="I3" s="26"/>
    </row>
    <row r="4" spans="1:9" ht="19.2" thickTop="1" thickBot="1" x14ac:dyDescent="0.35">
      <c r="A4" s="125" t="s">
        <v>141</v>
      </c>
      <c r="B4" s="191" t="s">
        <v>147</v>
      </c>
      <c r="C4" s="192"/>
      <c r="D4" s="192"/>
      <c r="E4" s="192"/>
      <c r="F4" s="193"/>
      <c r="G4" s="187" t="s">
        <v>146</v>
      </c>
      <c r="H4" s="188"/>
      <c r="I4" s="26"/>
    </row>
    <row r="5" spans="1:9" ht="18.600000000000001" thickTop="1" thickBot="1" x14ac:dyDescent="0.4">
      <c r="A5" s="126">
        <v>1</v>
      </c>
      <c r="B5" s="194" t="s">
        <v>145</v>
      </c>
      <c r="C5" s="195"/>
      <c r="D5" s="195"/>
      <c r="E5" s="195"/>
      <c r="F5" s="196"/>
      <c r="G5" s="148" t="str">
        <f>RIGHT(B5,LEN(B5)-(SEARCH("checkno.",B5)+7))</f>
        <v>12345</v>
      </c>
      <c r="H5" s="150"/>
      <c r="I5" s="26"/>
    </row>
    <row r="6" spans="1:9" ht="18.600000000000001" thickTop="1" thickBot="1" x14ac:dyDescent="0.4">
      <c r="A6" s="124">
        <v>2</v>
      </c>
      <c r="B6" s="159" t="s">
        <v>144</v>
      </c>
      <c r="C6" s="160"/>
      <c r="D6" s="160"/>
      <c r="E6" s="160"/>
      <c r="F6" s="161"/>
      <c r="G6" s="148" t="str">
        <f t="shared" ref="G6:G8" si="0">RIGHT(B6,LEN(B6)-(SEARCH("checkno.",B6)+7))</f>
        <v>123456</v>
      </c>
      <c r="H6" s="150"/>
      <c r="I6" s="26"/>
    </row>
    <row r="7" spans="1:9" ht="18.600000000000001" thickTop="1" thickBot="1" x14ac:dyDescent="0.4">
      <c r="A7" s="124">
        <v>3</v>
      </c>
      <c r="B7" s="159" t="s">
        <v>143</v>
      </c>
      <c r="C7" s="160"/>
      <c r="D7" s="160"/>
      <c r="E7" s="160"/>
      <c r="F7" s="161"/>
      <c r="G7" s="148" t="str">
        <f t="shared" si="0"/>
        <v>000789</v>
      </c>
      <c r="H7" s="150"/>
      <c r="I7" s="26"/>
    </row>
    <row r="8" spans="1:9" ht="18.600000000000001" thickTop="1" thickBot="1" x14ac:dyDescent="0.4">
      <c r="A8" s="124">
        <v>4</v>
      </c>
      <c r="B8" s="162" t="s">
        <v>142</v>
      </c>
      <c r="C8" s="163"/>
      <c r="D8" s="163"/>
      <c r="E8" s="163"/>
      <c r="F8" s="164"/>
      <c r="G8" s="148" t="str">
        <f t="shared" si="0"/>
        <v>123456</v>
      </c>
      <c r="H8" s="150"/>
      <c r="I8" s="26"/>
    </row>
    <row r="9" spans="1:9" ht="15" thickTop="1" x14ac:dyDescent="0.3">
      <c r="A9" s="23"/>
    </row>
  </sheetData>
  <mergeCells count="12">
    <mergeCell ref="A1:H1"/>
    <mergeCell ref="B4:F4"/>
    <mergeCell ref="B5:F5"/>
    <mergeCell ref="B6:F6"/>
    <mergeCell ref="B7:F7"/>
    <mergeCell ref="B8:F8"/>
    <mergeCell ref="A3:H3"/>
    <mergeCell ref="G4:H4"/>
    <mergeCell ref="G5:H5"/>
    <mergeCell ref="G6:H6"/>
    <mergeCell ref="G7:H7"/>
    <mergeCell ref="G8:H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157C-17E4-4539-9F73-7788D71432E9}">
  <dimension ref="A1:R35"/>
  <sheetViews>
    <sheetView showGridLines="0" workbookViewId="0">
      <selection activeCell="M10" sqref="M10"/>
    </sheetView>
  </sheetViews>
  <sheetFormatPr defaultRowHeight="14.4" x14ac:dyDescent="0.3"/>
  <cols>
    <col min="1" max="1" width="10.44140625" customWidth="1"/>
    <col min="2" max="2" width="17.21875" customWidth="1"/>
    <col min="3" max="6" width="14.21875" customWidth="1"/>
    <col min="7" max="7" width="16.21875" customWidth="1"/>
    <col min="8" max="8" width="16.109375" customWidth="1"/>
    <col min="9" max="11" width="14.21875" customWidth="1"/>
  </cols>
  <sheetData>
    <row r="1" spans="1:18" ht="19.2" thickTop="1" thickBot="1" x14ac:dyDescent="0.4">
      <c r="A1" s="69" t="s">
        <v>117</v>
      </c>
      <c r="B1" s="41"/>
      <c r="C1" s="41"/>
      <c r="D1" s="41"/>
      <c r="E1" s="41"/>
      <c r="F1" s="45"/>
      <c r="G1" s="41"/>
      <c r="H1" s="41"/>
      <c r="I1" s="41"/>
      <c r="J1" s="41"/>
      <c r="K1" s="45"/>
      <c r="L1" s="96"/>
      <c r="M1" s="5"/>
      <c r="N1" s="5"/>
      <c r="O1" s="5"/>
      <c r="P1" s="5"/>
      <c r="Q1" s="5"/>
      <c r="R1" s="5"/>
    </row>
    <row r="2" spans="1:18" ht="19.2" thickTop="1" thickBot="1" x14ac:dyDescent="0.4">
      <c r="A2" s="92"/>
      <c r="B2" s="87"/>
      <c r="C2" s="100"/>
      <c r="D2" s="92"/>
      <c r="E2" s="92"/>
      <c r="F2" s="87"/>
      <c r="G2" s="92"/>
      <c r="H2" s="87"/>
      <c r="I2" s="92"/>
      <c r="J2" s="92"/>
      <c r="K2" s="87"/>
      <c r="L2" s="5"/>
      <c r="M2" s="5"/>
      <c r="N2" s="5"/>
      <c r="O2" s="5"/>
      <c r="P2" s="5"/>
      <c r="Q2" s="5"/>
      <c r="R2" s="5"/>
    </row>
    <row r="3" spans="1:18" ht="19.2" thickTop="1" thickBot="1" x14ac:dyDescent="0.4">
      <c r="A3" s="206" t="s">
        <v>83</v>
      </c>
      <c r="B3" s="207"/>
      <c r="C3" s="207"/>
      <c r="D3" s="207"/>
      <c r="E3" s="208"/>
      <c r="F3" s="108"/>
      <c r="G3" s="200" t="s">
        <v>84</v>
      </c>
      <c r="H3" s="201"/>
      <c r="I3" s="201"/>
      <c r="J3" s="201"/>
      <c r="K3" s="202"/>
      <c r="L3" s="96"/>
      <c r="M3" s="5"/>
      <c r="N3" s="5"/>
      <c r="O3" s="5"/>
      <c r="P3" s="5"/>
      <c r="Q3" s="5"/>
      <c r="R3" s="5"/>
    </row>
    <row r="4" spans="1:18" ht="19.2" thickTop="1" thickBot="1" x14ac:dyDescent="0.4">
      <c r="A4" s="209"/>
      <c r="B4" s="210"/>
      <c r="C4" s="210"/>
      <c r="D4" s="210"/>
      <c r="E4" s="211"/>
      <c r="F4" s="87"/>
      <c r="G4" s="212" t="s">
        <v>46</v>
      </c>
      <c r="H4" s="213"/>
      <c r="I4" s="214"/>
      <c r="J4" s="212" t="s">
        <v>50</v>
      </c>
      <c r="K4" s="214"/>
      <c r="L4" s="5"/>
      <c r="M4" s="5"/>
      <c r="N4" s="5"/>
      <c r="O4" s="5"/>
      <c r="P4" s="5"/>
      <c r="Q4" s="5"/>
      <c r="R4" s="5"/>
    </row>
    <row r="5" spans="1:18" ht="19.2" thickTop="1" thickBot="1" x14ac:dyDescent="0.4">
      <c r="B5" s="31"/>
      <c r="E5" s="31"/>
      <c r="F5" s="87"/>
      <c r="G5" s="215" t="s">
        <v>85</v>
      </c>
      <c r="H5" s="216"/>
      <c r="I5" s="217"/>
      <c r="J5" s="215" t="s">
        <v>86</v>
      </c>
      <c r="K5" s="217"/>
      <c r="L5" s="5"/>
      <c r="M5" s="5"/>
      <c r="N5" s="5"/>
      <c r="O5" s="5"/>
      <c r="P5" s="5"/>
      <c r="Q5" s="5"/>
      <c r="R5" s="5"/>
    </row>
    <row r="6" spans="1:18" ht="18.600000000000001" thickTop="1" x14ac:dyDescent="0.35">
      <c r="A6" s="98" t="s">
        <v>94</v>
      </c>
      <c r="B6" s="109"/>
      <c r="C6" s="97"/>
      <c r="D6" s="97"/>
      <c r="E6" s="110"/>
      <c r="F6" s="87"/>
      <c r="G6" s="203" t="s">
        <v>87</v>
      </c>
      <c r="H6" s="204"/>
      <c r="I6" s="205"/>
      <c r="J6" s="203" t="s">
        <v>88</v>
      </c>
      <c r="K6" s="205"/>
      <c r="L6" s="5"/>
      <c r="M6" s="5"/>
      <c r="N6" s="5"/>
      <c r="O6" s="5"/>
      <c r="P6" s="5"/>
      <c r="Q6" s="5"/>
      <c r="R6" s="5"/>
    </row>
    <row r="7" spans="1:18" ht="18.600000000000001" thickBot="1" x14ac:dyDescent="0.4">
      <c r="A7" s="107" t="s">
        <v>95</v>
      </c>
      <c r="B7" s="109"/>
      <c r="C7" s="109"/>
      <c r="D7" s="109"/>
      <c r="E7" s="110"/>
      <c r="F7" s="87"/>
      <c r="G7" s="203" t="s">
        <v>89</v>
      </c>
      <c r="H7" s="204"/>
      <c r="I7" s="205"/>
      <c r="J7" s="203" t="s">
        <v>90</v>
      </c>
      <c r="K7" s="205"/>
      <c r="L7" s="5"/>
      <c r="M7" s="5"/>
      <c r="N7" s="5"/>
      <c r="O7" s="5"/>
      <c r="P7" s="5"/>
      <c r="Q7" s="5"/>
      <c r="R7" s="5"/>
    </row>
    <row r="8" spans="1:18" ht="18.600000000000001" thickTop="1" x14ac:dyDescent="0.35">
      <c r="A8" s="23"/>
      <c r="B8" s="23"/>
      <c r="C8" s="23"/>
      <c r="D8" s="23"/>
      <c r="E8" s="23"/>
      <c r="F8" s="87"/>
      <c r="G8" s="203" t="s">
        <v>91</v>
      </c>
      <c r="H8" s="204"/>
      <c r="I8" s="205"/>
      <c r="J8" s="203" t="s">
        <v>1</v>
      </c>
      <c r="K8" s="205"/>
      <c r="L8" s="5"/>
      <c r="M8" s="5"/>
      <c r="N8" s="5"/>
      <c r="O8" s="5"/>
      <c r="P8" s="5"/>
      <c r="Q8" s="5"/>
      <c r="R8" s="5"/>
    </row>
    <row r="9" spans="1:18" ht="18.600000000000001" thickBot="1" x14ac:dyDescent="0.4">
      <c r="F9" s="87"/>
      <c r="G9" s="197" t="s">
        <v>92</v>
      </c>
      <c r="H9" s="198"/>
      <c r="I9" s="199"/>
      <c r="J9" s="197" t="s">
        <v>93</v>
      </c>
      <c r="K9" s="199"/>
      <c r="L9" s="5"/>
      <c r="M9" s="5"/>
      <c r="N9" s="5"/>
      <c r="O9" s="5"/>
      <c r="P9" s="5"/>
      <c r="Q9" s="5"/>
      <c r="R9" s="5"/>
    </row>
    <row r="10" spans="1:18" ht="19.2" thickTop="1" thickBot="1" x14ac:dyDescent="0.4">
      <c r="A10" s="87"/>
      <c r="B10" s="87"/>
      <c r="C10" s="87"/>
      <c r="D10" s="87"/>
      <c r="E10" s="87"/>
      <c r="F10" s="87"/>
      <c r="G10" s="87"/>
      <c r="H10" s="87"/>
      <c r="I10" s="111"/>
      <c r="J10" s="87"/>
      <c r="K10" s="87"/>
      <c r="L10" s="5"/>
      <c r="M10" s="5"/>
      <c r="N10" s="5"/>
      <c r="O10" s="5"/>
      <c r="P10" s="5"/>
      <c r="Q10" s="5"/>
      <c r="R10" s="5"/>
    </row>
    <row r="11" spans="1:18" s="18" customFormat="1" ht="19.2" thickTop="1" thickBot="1" x14ac:dyDescent="0.35">
      <c r="A11" s="99" t="s">
        <v>72</v>
      </c>
      <c r="B11" s="99" t="s">
        <v>73</v>
      </c>
      <c r="C11" s="99" t="s">
        <v>74</v>
      </c>
      <c r="D11" s="99" t="s">
        <v>75</v>
      </c>
      <c r="E11" s="99" t="s">
        <v>76</v>
      </c>
      <c r="F11" s="99" t="s">
        <v>77</v>
      </c>
      <c r="G11" s="99" t="s">
        <v>78</v>
      </c>
      <c r="H11" s="99" t="s">
        <v>79</v>
      </c>
      <c r="I11" s="99" t="s">
        <v>80</v>
      </c>
      <c r="J11" s="99" t="s">
        <v>81</v>
      </c>
      <c r="K11" s="99" t="s">
        <v>82</v>
      </c>
      <c r="L11" s="95"/>
      <c r="M11" s="95"/>
      <c r="N11" s="95"/>
      <c r="O11" s="95"/>
      <c r="P11" s="95"/>
      <c r="Q11" s="95"/>
      <c r="R11" s="95"/>
    </row>
    <row r="12" spans="1:18" ht="15.45" customHeight="1" thickTop="1" thickBot="1" x14ac:dyDescent="0.35">
      <c r="A12" s="101">
        <v>815864</v>
      </c>
      <c r="B12" s="101" t="s">
        <v>47</v>
      </c>
      <c r="C12" s="101">
        <v>57</v>
      </c>
      <c r="D12" s="101">
        <v>25</v>
      </c>
      <c r="E12" s="101">
        <v>41</v>
      </c>
      <c r="F12" s="101">
        <v>62</v>
      </c>
      <c r="G12" s="101">
        <v>93</v>
      </c>
      <c r="H12" s="106">
        <f>SUM(C12:G12)</f>
        <v>278</v>
      </c>
      <c r="I12" s="131">
        <f>H12/500</f>
        <v>0.55600000000000005</v>
      </c>
      <c r="J12" s="106" t="str" cm="1">
        <f t="array" ref="J12">_xlfn.SWITCH(TRUE,I12&gt;80%,"A+",I12&gt;=60%,"A",I12&gt;=45%,"B",I12&gt;33,"B+","C")</f>
        <v>B</v>
      </c>
      <c r="K12" s="106" t="str" cm="1">
        <f t="array" ref="K12">_xlfn.SWITCH(TRUE,I12&gt;33%,"PASS","FAIL")</f>
        <v>PASS</v>
      </c>
      <c r="L12" s="5"/>
      <c r="R12" s="5"/>
    </row>
    <row r="13" spans="1:18" ht="16.8" thickTop="1" thickBot="1" x14ac:dyDescent="0.35">
      <c r="A13" s="102">
        <v>815865</v>
      </c>
      <c r="B13" s="102" t="s">
        <v>48</v>
      </c>
      <c r="C13" s="102">
        <v>52</v>
      </c>
      <c r="D13" s="102">
        <v>64</v>
      </c>
      <c r="E13" s="102">
        <v>40</v>
      </c>
      <c r="F13" s="102">
        <v>62</v>
      </c>
      <c r="G13" s="102">
        <v>48</v>
      </c>
      <c r="H13" s="106">
        <f t="shared" ref="H13:H34" si="0">SUM(C13:G13)</f>
        <v>266</v>
      </c>
      <c r="I13" s="131">
        <f t="shared" ref="I13:I34" si="1">H13/500</f>
        <v>0.53200000000000003</v>
      </c>
      <c r="J13" s="106" t="str" cm="1">
        <f t="array" ref="J13">_xlfn.SWITCH(TRUE,I13&gt;80%,"A+",I13&gt;=60%,"A",I13&gt;=45%,"B",I13&gt;33,"B+","C")</f>
        <v>B</v>
      </c>
      <c r="K13" s="106" t="str" cm="1">
        <f t="array" ref="K13">_xlfn.SWITCH(TRUE,I13&gt;33%,"PASS","FAIL")</f>
        <v>PASS</v>
      </c>
      <c r="L13" s="5"/>
      <c r="R13" s="5"/>
    </row>
    <row r="14" spans="1:18" ht="16.8" thickTop="1" thickBot="1" x14ac:dyDescent="0.35">
      <c r="A14" s="102">
        <v>815866</v>
      </c>
      <c r="B14" s="102" t="s">
        <v>49</v>
      </c>
      <c r="C14" s="102">
        <v>35</v>
      </c>
      <c r="D14" s="102">
        <v>60</v>
      </c>
      <c r="E14" s="102">
        <v>44</v>
      </c>
      <c r="F14" s="102">
        <v>59</v>
      </c>
      <c r="G14" s="102">
        <v>82</v>
      </c>
      <c r="H14" s="106">
        <f t="shared" si="0"/>
        <v>280</v>
      </c>
      <c r="I14" s="131">
        <f t="shared" si="1"/>
        <v>0.56000000000000005</v>
      </c>
      <c r="J14" s="106" t="str" cm="1">
        <f t="array" ref="J14">_xlfn.SWITCH(TRUE,I14&gt;80%,"A+",I14&gt;=60%,"A",I14&gt;=45%,"B",I14&gt;33,"B+","C")</f>
        <v>B</v>
      </c>
      <c r="K14" s="106" t="str" cm="1">
        <f t="array" ref="K14">_xlfn.SWITCH(TRUE,I14&gt;33%,"PASS","FAIL")</f>
        <v>PASS</v>
      </c>
      <c r="L14" s="5"/>
      <c r="R14" s="5"/>
    </row>
    <row r="15" spans="1:18" ht="16.8" thickTop="1" thickBot="1" x14ac:dyDescent="0.35">
      <c r="A15" s="102">
        <v>815867</v>
      </c>
      <c r="B15" s="102" t="s">
        <v>51</v>
      </c>
      <c r="C15" s="102">
        <v>65</v>
      </c>
      <c r="D15" s="102">
        <v>86</v>
      </c>
      <c r="E15" s="102">
        <v>24</v>
      </c>
      <c r="F15" s="102">
        <v>88</v>
      </c>
      <c r="G15" s="102">
        <v>96</v>
      </c>
      <c r="H15" s="106">
        <f t="shared" si="0"/>
        <v>359</v>
      </c>
      <c r="I15" s="131">
        <f t="shared" si="1"/>
        <v>0.71799999999999997</v>
      </c>
      <c r="J15" s="106" t="str" cm="1">
        <f t="array" ref="J15">_xlfn.SWITCH(TRUE,I15&gt;80%,"A+",I15&gt;=60%,"A",I15&gt;=45%,"B",I15&gt;33,"B+","C")</f>
        <v>A</v>
      </c>
      <c r="K15" s="106" t="str" cm="1">
        <f t="array" ref="K15">_xlfn.SWITCH(TRUE,I15&gt;33%,"PASS","FAIL")</f>
        <v>PASS</v>
      </c>
    </row>
    <row r="16" spans="1:18" ht="16.8" thickTop="1" thickBot="1" x14ac:dyDescent="0.35">
      <c r="A16" s="102">
        <v>815868</v>
      </c>
      <c r="B16" s="102" t="s">
        <v>52</v>
      </c>
      <c r="C16" s="102">
        <v>42</v>
      </c>
      <c r="D16" s="102">
        <v>74</v>
      </c>
      <c r="E16" s="102">
        <v>83</v>
      </c>
      <c r="F16" s="102">
        <v>96</v>
      </c>
      <c r="G16" s="102">
        <v>72</v>
      </c>
      <c r="H16" s="106">
        <f t="shared" si="0"/>
        <v>367</v>
      </c>
      <c r="I16" s="131">
        <f t="shared" si="1"/>
        <v>0.73399999999999999</v>
      </c>
      <c r="J16" s="106" t="str" cm="1">
        <f t="array" ref="J16">_xlfn.SWITCH(TRUE,I16&gt;80%,"A+",I16&gt;=60%,"A",I16&gt;=45%,"B",I16&gt;33,"B+","C")</f>
        <v>A</v>
      </c>
      <c r="K16" s="106" t="str" cm="1">
        <f t="array" ref="K16">_xlfn.SWITCH(TRUE,I16&gt;33%,"PASS","FAIL")</f>
        <v>PASS</v>
      </c>
    </row>
    <row r="17" spans="1:18" ht="16.8" thickTop="1" thickBot="1" x14ac:dyDescent="0.35">
      <c r="A17" s="102">
        <v>815869</v>
      </c>
      <c r="B17" s="102" t="s">
        <v>53</v>
      </c>
      <c r="C17" s="102">
        <v>21</v>
      </c>
      <c r="D17" s="102">
        <v>85</v>
      </c>
      <c r="E17" s="102">
        <v>73</v>
      </c>
      <c r="F17" s="102">
        <v>30</v>
      </c>
      <c r="G17" s="102">
        <v>36</v>
      </c>
      <c r="H17" s="106">
        <f t="shared" si="0"/>
        <v>245</v>
      </c>
      <c r="I17" s="131">
        <f t="shared" si="1"/>
        <v>0.49</v>
      </c>
      <c r="J17" s="106" t="str" cm="1">
        <f t="array" ref="J17">_xlfn.SWITCH(TRUE,I17&gt;80%,"A+",I17&gt;=60%,"A",I17&gt;=45%,"B",I17&gt;33,"B+","C")</f>
        <v>B</v>
      </c>
      <c r="K17" s="106" t="str" cm="1">
        <f t="array" ref="K17">_xlfn.SWITCH(TRUE,I17&gt;33%,"PASS","FAIL")</f>
        <v>PASS</v>
      </c>
    </row>
    <row r="18" spans="1:18" ht="16.8" thickTop="1" thickBot="1" x14ac:dyDescent="0.35">
      <c r="A18" s="102">
        <v>815870</v>
      </c>
      <c r="B18" s="102" t="s">
        <v>54</v>
      </c>
      <c r="C18" s="102">
        <v>76</v>
      </c>
      <c r="D18" s="102">
        <v>37</v>
      </c>
      <c r="E18" s="102">
        <v>33</v>
      </c>
      <c r="F18" s="102">
        <v>67</v>
      </c>
      <c r="G18" s="102">
        <v>62</v>
      </c>
      <c r="H18" s="106">
        <f t="shared" si="0"/>
        <v>275</v>
      </c>
      <c r="I18" s="131">
        <f t="shared" si="1"/>
        <v>0.55000000000000004</v>
      </c>
      <c r="J18" s="106" t="str" cm="1">
        <f t="array" ref="J18">_xlfn.SWITCH(TRUE,I18&gt;80%,"A+",I18&gt;=60%,"A",I18&gt;=45%,"B",I18&gt;33,"B+","C")</f>
        <v>B</v>
      </c>
      <c r="K18" s="106" t="str" cm="1">
        <f t="array" ref="K18">_xlfn.SWITCH(TRUE,I18&gt;33%,"PASS","FAIL")</f>
        <v>PASS</v>
      </c>
    </row>
    <row r="19" spans="1:18" ht="16.8" thickTop="1" thickBot="1" x14ac:dyDescent="0.35">
      <c r="A19" s="102">
        <v>815871</v>
      </c>
      <c r="B19" s="102" t="s">
        <v>55</v>
      </c>
      <c r="C19" s="102">
        <v>71</v>
      </c>
      <c r="D19" s="102">
        <v>85</v>
      </c>
      <c r="E19" s="102">
        <v>89</v>
      </c>
      <c r="F19" s="102">
        <v>88</v>
      </c>
      <c r="G19" s="102">
        <v>88</v>
      </c>
      <c r="H19" s="106">
        <f t="shared" si="0"/>
        <v>421</v>
      </c>
      <c r="I19" s="131">
        <f t="shared" si="1"/>
        <v>0.84199999999999997</v>
      </c>
      <c r="J19" s="106" t="str" cm="1">
        <f t="array" ref="J19">_xlfn.SWITCH(TRUE,I19&gt;80%,"A+",I19&gt;=60%,"A",I19&gt;=45%,"B",I19&gt;33,"B+","C")</f>
        <v>A+</v>
      </c>
      <c r="K19" s="106" t="str" cm="1">
        <f t="array" ref="K19">_xlfn.SWITCH(TRUE,I19&gt;33%,"PASS","FAIL")</f>
        <v>PASS</v>
      </c>
    </row>
    <row r="20" spans="1:18" ht="16.8" thickTop="1" thickBot="1" x14ac:dyDescent="0.35">
      <c r="A20" s="103">
        <v>815872</v>
      </c>
      <c r="B20" s="102" t="s">
        <v>56</v>
      </c>
      <c r="C20" s="103">
        <v>88</v>
      </c>
      <c r="D20" s="104">
        <v>86</v>
      </c>
      <c r="E20" s="104">
        <v>91</v>
      </c>
      <c r="F20" s="104">
        <v>99</v>
      </c>
      <c r="G20" s="104">
        <v>90</v>
      </c>
      <c r="H20" s="106">
        <f t="shared" si="0"/>
        <v>454</v>
      </c>
      <c r="I20" s="131">
        <f t="shared" si="1"/>
        <v>0.90800000000000003</v>
      </c>
      <c r="J20" s="106" t="str" cm="1">
        <f t="array" ref="J20">_xlfn.SWITCH(TRUE,I20&gt;80%,"A+",I20&gt;=60%,"A",I20&gt;=45%,"B",I20&gt;33,"B+","C")</f>
        <v>A+</v>
      </c>
      <c r="K20" s="106" t="str" cm="1">
        <f t="array" ref="K20">_xlfn.SWITCH(TRUE,I20&gt;33%,"PASS","FAIL")</f>
        <v>PASS</v>
      </c>
    </row>
    <row r="21" spans="1:18" ht="16.8" thickTop="1" thickBot="1" x14ac:dyDescent="0.35">
      <c r="A21" s="102">
        <v>815873</v>
      </c>
      <c r="B21" s="102" t="s">
        <v>57</v>
      </c>
      <c r="C21" s="102">
        <v>29</v>
      </c>
      <c r="D21" s="102">
        <v>34</v>
      </c>
      <c r="E21" s="102">
        <v>89</v>
      </c>
      <c r="F21" s="102">
        <v>60</v>
      </c>
      <c r="G21" s="102">
        <v>70</v>
      </c>
      <c r="H21" s="106">
        <f t="shared" si="0"/>
        <v>282</v>
      </c>
      <c r="I21" s="131">
        <f t="shared" si="1"/>
        <v>0.56399999999999995</v>
      </c>
      <c r="J21" s="106" t="str" cm="1">
        <f t="array" ref="J21">_xlfn.SWITCH(TRUE,I21&gt;80%,"A+",I21&gt;=60%,"A",I21&gt;=45%,"B",I21&gt;33,"B+","C")</f>
        <v>B</v>
      </c>
      <c r="K21" s="106" t="str" cm="1">
        <f t="array" ref="K21">_xlfn.SWITCH(TRUE,I21&gt;33%,"PASS","FAIL")</f>
        <v>PASS</v>
      </c>
    </row>
    <row r="22" spans="1:18" ht="16.8" thickTop="1" thickBot="1" x14ac:dyDescent="0.35">
      <c r="A22" s="102">
        <v>815874</v>
      </c>
      <c r="B22" s="102" t="s">
        <v>58</v>
      </c>
      <c r="C22" s="102">
        <v>26</v>
      </c>
      <c r="D22" s="102">
        <v>82</v>
      </c>
      <c r="E22" s="102">
        <v>73</v>
      </c>
      <c r="F22" s="102">
        <v>46</v>
      </c>
      <c r="G22" s="102">
        <v>62</v>
      </c>
      <c r="H22" s="106">
        <f t="shared" si="0"/>
        <v>289</v>
      </c>
      <c r="I22" s="131">
        <f t="shared" si="1"/>
        <v>0.57799999999999996</v>
      </c>
      <c r="J22" s="106" t="str" cm="1">
        <f t="array" ref="J22">_xlfn.SWITCH(TRUE,I22&gt;80%,"A+",I22&gt;=60%,"A",I22&gt;=45%,"B",I22&gt;33,"B+","C")</f>
        <v>B</v>
      </c>
      <c r="K22" s="106" t="str" cm="1">
        <f t="array" ref="K22">_xlfn.SWITCH(TRUE,I22&gt;33%,"PASS","FAIL")</f>
        <v>PASS</v>
      </c>
    </row>
    <row r="23" spans="1:18" ht="16.8" thickTop="1" thickBot="1" x14ac:dyDescent="0.35">
      <c r="A23" s="102">
        <v>815875</v>
      </c>
      <c r="B23" s="102" t="s">
        <v>59</v>
      </c>
      <c r="C23" s="102">
        <v>53</v>
      </c>
      <c r="D23" s="102">
        <v>27</v>
      </c>
      <c r="E23" s="102">
        <v>30</v>
      </c>
      <c r="F23" s="102">
        <v>86</v>
      </c>
      <c r="G23" s="102">
        <v>38</v>
      </c>
      <c r="H23" s="106">
        <f t="shared" si="0"/>
        <v>234</v>
      </c>
      <c r="I23" s="131">
        <f t="shared" si="1"/>
        <v>0.46800000000000003</v>
      </c>
      <c r="J23" s="106" t="str" cm="1">
        <f t="array" ref="J23">_xlfn.SWITCH(TRUE,I23&gt;80%,"A+",I23&gt;=60%,"A",I23&gt;=45%,"B",I23&gt;33,"B+","C")</f>
        <v>B</v>
      </c>
      <c r="K23" s="106" t="str" cm="1">
        <f t="array" ref="K23">_xlfn.SWITCH(TRUE,I23&gt;33%,"PASS","FAIL")</f>
        <v>PASS</v>
      </c>
    </row>
    <row r="24" spans="1:18" ht="16.8" thickTop="1" thickBot="1" x14ac:dyDescent="0.35">
      <c r="A24" s="102">
        <v>815876</v>
      </c>
      <c r="B24" s="102" t="s">
        <v>60</v>
      </c>
      <c r="C24" s="102">
        <v>66</v>
      </c>
      <c r="D24" s="102">
        <v>22</v>
      </c>
      <c r="E24" s="102">
        <v>50</v>
      </c>
      <c r="F24" s="102">
        <v>73</v>
      </c>
      <c r="G24" s="102">
        <v>23</v>
      </c>
      <c r="H24" s="106">
        <f t="shared" si="0"/>
        <v>234</v>
      </c>
      <c r="I24" s="131">
        <f t="shared" si="1"/>
        <v>0.46800000000000003</v>
      </c>
      <c r="J24" s="106" t="str" cm="1">
        <f t="array" ref="J24">_xlfn.SWITCH(TRUE,I24&gt;80%,"A+",I24&gt;=60%,"A",I24&gt;=45%,"B",I24&gt;33,"B+","C")</f>
        <v>B</v>
      </c>
      <c r="K24" s="106" t="str" cm="1">
        <f t="array" ref="K24">_xlfn.SWITCH(TRUE,I24&gt;33%,"PASS","FAIL")</f>
        <v>PASS</v>
      </c>
    </row>
    <row r="25" spans="1:18" ht="16.8" thickTop="1" thickBot="1" x14ac:dyDescent="0.35">
      <c r="A25" s="102">
        <v>815877</v>
      </c>
      <c r="B25" s="102" t="s">
        <v>61</v>
      </c>
      <c r="C25" s="102">
        <v>33</v>
      </c>
      <c r="D25" s="102">
        <v>63</v>
      </c>
      <c r="E25" s="102">
        <v>95</v>
      </c>
      <c r="F25" s="102">
        <v>74</v>
      </c>
      <c r="G25" s="102">
        <v>70</v>
      </c>
      <c r="H25" s="106">
        <f t="shared" si="0"/>
        <v>335</v>
      </c>
      <c r="I25" s="131">
        <f t="shared" si="1"/>
        <v>0.67</v>
      </c>
      <c r="J25" s="106" t="str" cm="1">
        <f t="array" ref="J25">_xlfn.SWITCH(TRUE,I25&gt;80%,"A+",I25&gt;=60%,"A",I25&gt;=45%,"B",I25&gt;33,"B+","C")</f>
        <v>A</v>
      </c>
      <c r="K25" s="106" t="str" cm="1">
        <f t="array" ref="K25">_xlfn.SWITCH(TRUE,I25&gt;33%,"PASS","FAIL")</f>
        <v>PASS</v>
      </c>
    </row>
    <row r="26" spans="1:18" ht="16.8" thickTop="1" thickBot="1" x14ac:dyDescent="0.35">
      <c r="A26" s="102">
        <v>815878</v>
      </c>
      <c r="B26" s="102" t="s">
        <v>62</v>
      </c>
      <c r="C26" s="102">
        <v>24</v>
      </c>
      <c r="D26" s="102">
        <v>51</v>
      </c>
      <c r="E26" s="102">
        <v>70</v>
      </c>
      <c r="F26" s="102">
        <v>47</v>
      </c>
      <c r="G26" s="102">
        <v>28</v>
      </c>
      <c r="H26" s="106">
        <f t="shared" si="0"/>
        <v>220</v>
      </c>
      <c r="I26" s="131">
        <f t="shared" si="1"/>
        <v>0.44</v>
      </c>
      <c r="J26" s="106" t="str" cm="1">
        <f t="array" ref="J26">_xlfn.SWITCH(TRUE,I26&gt;80%,"A+",I26&gt;=60%,"A",I26&gt;=45%,"B",I26&gt;33,"B+","C")</f>
        <v>C</v>
      </c>
      <c r="K26" s="106" t="str" cm="1">
        <f t="array" ref="K26">_xlfn.SWITCH(TRUE,I26&gt;33%,"PASS","FAIL")</f>
        <v>PASS</v>
      </c>
    </row>
    <row r="27" spans="1:18" ht="16.8" thickTop="1" thickBot="1" x14ac:dyDescent="0.35">
      <c r="A27" s="102">
        <v>815879</v>
      </c>
      <c r="B27" s="102" t="s">
        <v>63</v>
      </c>
      <c r="C27" s="102">
        <v>62</v>
      </c>
      <c r="D27" s="102">
        <v>88</v>
      </c>
      <c r="E27" s="102">
        <v>84</v>
      </c>
      <c r="F27" s="102">
        <v>68</v>
      </c>
      <c r="G27" s="102">
        <v>65</v>
      </c>
      <c r="H27" s="106">
        <f t="shared" si="0"/>
        <v>367</v>
      </c>
      <c r="I27" s="131">
        <f t="shared" si="1"/>
        <v>0.73399999999999999</v>
      </c>
      <c r="J27" s="106" t="str" cm="1">
        <f t="array" ref="J27">_xlfn.SWITCH(TRUE,I27&gt;80%,"A+",I27&gt;=60%,"A",I27&gt;=45%,"B",I27&gt;33,"B+","C")</f>
        <v>A</v>
      </c>
      <c r="K27" s="106" t="str" cm="1">
        <f t="array" ref="K27">_xlfn.SWITCH(TRUE,I27&gt;33%,"PASS","FAIL")</f>
        <v>PASS</v>
      </c>
    </row>
    <row r="28" spans="1:18" ht="16.8" thickTop="1" thickBot="1" x14ac:dyDescent="0.35">
      <c r="A28" s="102">
        <v>815880</v>
      </c>
      <c r="B28" s="102" t="s">
        <v>64</v>
      </c>
      <c r="C28" s="102">
        <v>21</v>
      </c>
      <c r="D28" s="102">
        <v>41</v>
      </c>
      <c r="E28" s="102">
        <v>41</v>
      </c>
      <c r="F28" s="102">
        <v>62</v>
      </c>
      <c r="G28" s="102">
        <v>47</v>
      </c>
      <c r="H28" s="106">
        <f t="shared" si="0"/>
        <v>212</v>
      </c>
      <c r="I28" s="131">
        <f t="shared" si="1"/>
        <v>0.42399999999999999</v>
      </c>
      <c r="J28" s="106" t="str" cm="1">
        <f t="array" ref="J28">_xlfn.SWITCH(TRUE,I28&gt;80%,"A+",I28&gt;=60%,"A",I28&gt;=45%,"B",I28&gt;33,"B+","C")</f>
        <v>C</v>
      </c>
      <c r="K28" s="106" t="str" cm="1">
        <f t="array" ref="K28">_xlfn.SWITCH(TRUE,I28&gt;33%,"PASS","FAIL")</f>
        <v>PASS</v>
      </c>
      <c r="L28" s="5"/>
      <c r="M28" s="5"/>
      <c r="N28" s="5"/>
      <c r="O28" s="5"/>
      <c r="P28" s="5"/>
      <c r="Q28" s="5"/>
      <c r="R28" s="5"/>
    </row>
    <row r="29" spans="1:18" ht="16.8" thickTop="1" thickBot="1" x14ac:dyDescent="0.35">
      <c r="A29" s="102">
        <v>815881</v>
      </c>
      <c r="B29" s="102" t="s">
        <v>65</v>
      </c>
      <c r="C29" s="102">
        <v>92</v>
      </c>
      <c r="D29" s="102">
        <v>53</v>
      </c>
      <c r="E29" s="102">
        <v>91</v>
      </c>
      <c r="F29" s="102">
        <v>32</v>
      </c>
      <c r="G29" s="102">
        <v>52</v>
      </c>
      <c r="H29" s="106">
        <f t="shared" si="0"/>
        <v>320</v>
      </c>
      <c r="I29" s="131">
        <f t="shared" si="1"/>
        <v>0.64</v>
      </c>
      <c r="J29" s="106" t="str" cm="1">
        <f t="array" ref="J29">_xlfn.SWITCH(TRUE,I29&gt;80%,"A+",I29&gt;=60%,"A",I29&gt;=45%,"B",I29&gt;33,"B+","C")</f>
        <v>A</v>
      </c>
      <c r="K29" s="106" t="str" cm="1">
        <f t="array" ref="K29">_xlfn.SWITCH(TRUE,I29&gt;33%,"PASS","FAIL")</f>
        <v>PASS</v>
      </c>
      <c r="L29" s="5"/>
      <c r="M29" s="5"/>
      <c r="N29" s="5"/>
      <c r="O29" s="5"/>
      <c r="P29" s="5"/>
      <c r="Q29" s="5"/>
      <c r="R29" s="5"/>
    </row>
    <row r="30" spans="1:18" ht="16.8" thickTop="1" thickBot="1" x14ac:dyDescent="0.35">
      <c r="A30" s="102">
        <v>815882</v>
      </c>
      <c r="B30" s="102" t="s">
        <v>66</v>
      </c>
      <c r="C30" s="102">
        <v>71</v>
      </c>
      <c r="D30" s="102">
        <v>88</v>
      </c>
      <c r="E30" s="102">
        <v>25</v>
      </c>
      <c r="F30" s="102">
        <v>89</v>
      </c>
      <c r="G30" s="102">
        <v>72</v>
      </c>
      <c r="H30" s="106">
        <f t="shared" si="0"/>
        <v>345</v>
      </c>
      <c r="I30" s="131">
        <f t="shared" si="1"/>
        <v>0.69</v>
      </c>
      <c r="J30" s="106" t="str" cm="1">
        <f t="array" ref="J30">_xlfn.SWITCH(TRUE,I30&gt;80%,"A+",I30&gt;=60%,"A",I30&gt;=45%,"B",I30&gt;33,"B+","C")</f>
        <v>A</v>
      </c>
      <c r="K30" s="106" t="str" cm="1">
        <f t="array" ref="K30">_xlfn.SWITCH(TRUE,I30&gt;33%,"PASS","FAIL")</f>
        <v>PASS</v>
      </c>
      <c r="L30" s="5"/>
      <c r="M30" s="5"/>
      <c r="N30" s="5"/>
      <c r="O30" s="5"/>
      <c r="P30" s="5"/>
      <c r="Q30" s="5"/>
      <c r="R30" s="5"/>
    </row>
    <row r="31" spans="1:18" ht="16.8" thickTop="1" thickBot="1" x14ac:dyDescent="0.35">
      <c r="A31" s="102">
        <v>815883</v>
      </c>
      <c r="B31" s="102" t="s">
        <v>67</v>
      </c>
      <c r="C31" s="102">
        <v>66</v>
      </c>
      <c r="D31" s="102">
        <v>68</v>
      </c>
      <c r="E31" s="102">
        <v>96</v>
      </c>
      <c r="F31" s="102">
        <v>44</v>
      </c>
      <c r="G31" s="102">
        <v>72</v>
      </c>
      <c r="H31" s="106">
        <f t="shared" si="0"/>
        <v>346</v>
      </c>
      <c r="I31" s="131">
        <f t="shared" si="1"/>
        <v>0.69199999999999995</v>
      </c>
      <c r="J31" s="106" t="str" cm="1">
        <f t="array" ref="J31">_xlfn.SWITCH(TRUE,I31&gt;80%,"A+",I31&gt;=60%,"A",I31&gt;=45%,"B",I31&gt;33,"B+","C")</f>
        <v>A</v>
      </c>
      <c r="K31" s="106" t="str" cm="1">
        <f t="array" ref="K31">_xlfn.SWITCH(TRUE,I31&gt;33%,"PASS","FAIL")</f>
        <v>PASS</v>
      </c>
      <c r="L31" s="5"/>
      <c r="M31" s="5"/>
      <c r="N31" s="5"/>
      <c r="O31" s="5"/>
      <c r="P31" s="5"/>
      <c r="Q31" s="5"/>
      <c r="R31" s="5"/>
    </row>
    <row r="32" spans="1:18" ht="16.8" thickTop="1" thickBot="1" x14ac:dyDescent="0.35">
      <c r="A32" s="102">
        <v>815884</v>
      </c>
      <c r="B32" s="102" t="s">
        <v>68</v>
      </c>
      <c r="C32" s="102">
        <v>33</v>
      </c>
      <c r="D32" s="102">
        <v>29</v>
      </c>
      <c r="E32" s="102">
        <v>27</v>
      </c>
      <c r="F32" s="102">
        <v>44</v>
      </c>
      <c r="G32" s="102">
        <v>21</v>
      </c>
      <c r="H32" s="106">
        <f t="shared" si="0"/>
        <v>154</v>
      </c>
      <c r="I32" s="131">
        <f t="shared" si="1"/>
        <v>0.308</v>
      </c>
      <c r="J32" s="106" t="str" cm="1">
        <f t="array" ref="J32">_xlfn.SWITCH(TRUE,I32&gt;80%,"A+",I32&gt;=60%,"A",I32&gt;=45%,"B",I32&gt;33,"B+","C")</f>
        <v>C</v>
      </c>
      <c r="K32" s="106" t="str" cm="1">
        <f t="array" ref="K32">_xlfn.SWITCH(TRUE,I32&gt;33%,"PASS","FAIL")</f>
        <v>FAIL</v>
      </c>
      <c r="L32" s="5"/>
      <c r="M32" s="5"/>
      <c r="N32" s="5"/>
      <c r="O32" s="5"/>
      <c r="P32" s="5"/>
      <c r="Q32" s="5"/>
      <c r="R32" s="5"/>
    </row>
    <row r="33" spans="1:18" ht="16.8" thickTop="1" thickBot="1" x14ac:dyDescent="0.35">
      <c r="A33" s="102">
        <v>815885</v>
      </c>
      <c r="B33" s="102" t="s">
        <v>69</v>
      </c>
      <c r="C33" s="102">
        <v>22</v>
      </c>
      <c r="D33" s="102">
        <v>28</v>
      </c>
      <c r="E33" s="102">
        <v>33</v>
      </c>
      <c r="F33" s="102">
        <v>26</v>
      </c>
      <c r="G33" s="102">
        <v>42</v>
      </c>
      <c r="H33" s="106">
        <f t="shared" si="0"/>
        <v>151</v>
      </c>
      <c r="I33" s="131">
        <f t="shared" si="1"/>
        <v>0.30199999999999999</v>
      </c>
      <c r="J33" s="106" t="str" cm="1">
        <f t="array" ref="J33">_xlfn.SWITCH(TRUE,I33&gt;80%,"A+",I33&gt;=60%,"A",I33&gt;=45%,"B",I33&gt;33,"B+","C")</f>
        <v>C</v>
      </c>
      <c r="K33" s="106" t="str" cm="1">
        <f t="array" ref="K33">_xlfn.SWITCH(TRUE,I33&gt;33%,"PASS","FAIL")</f>
        <v>FAIL</v>
      </c>
      <c r="L33" s="5"/>
      <c r="M33" s="5"/>
      <c r="N33" s="5"/>
      <c r="O33" s="5"/>
      <c r="P33" s="5"/>
      <c r="Q33" s="5"/>
      <c r="R33" s="5"/>
    </row>
    <row r="34" spans="1:18" ht="16.8" thickTop="1" thickBot="1" x14ac:dyDescent="0.35">
      <c r="A34" s="105">
        <v>815886</v>
      </c>
      <c r="B34" s="105" t="s">
        <v>70</v>
      </c>
      <c r="C34" s="105">
        <v>48</v>
      </c>
      <c r="D34" s="105">
        <v>82</v>
      </c>
      <c r="E34" s="105">
        <v>95</v>
      </c>
      <c r="F34" s="105">
        <v>53</v>
      </c>
      <c r="G34" s="105">
        <v>47</v>
      </c>
      <c r="H34" s="106">
        <f t="shared" si="0"/>
        <v>325</v>
      </c>
      <c r="I34" s="131">
        <f t="shared" si="1"/>
        <v>0.65</v>
      </c>
      <c r="J34" s="106" t="str" cm="1">
        <f t="array" ref="J34">_xlfn.SWITCH(TRUE,I34&gt;80%,"A+",I34&gt;=60%,"A",I34&gt;=45%,"B",I34&gt;33,"B+","C")</f>
        <v>A</v>
      </c>
      <c r="K34" s="106" t="str" cm="1">
        <f t="array" ref="K34">_xlfn.SWITCH(TRUE,I34&gt;33%,"PASS","FAIL")</f>
        <v>PASS</v>
      </c>
      <c r="L34" s="5"/>
      <c r="M34" s="5"/>
      <c r="N34" s="5"/>
      <c r="O34" s="5"/>
      <c r="P34" s="5"/>
      <c r="Q34" s="5"/>
      <c r="R34" s="5"/>
    </row>
    <row r="35" spans="1:18" ht="16.2" thickTop="1" x14ac:dyDescent="0.3">
      <c r="K35" s="23"/>
      <c r="L35" s="5"/>
      <c r="M35" s="5"/>
      <c r="N35" s="5"/>
      <c r="O35" s="5"/>
      <c r="P35" s="5"/>
      <c r="Q35" s="5"/>
      <c r="R35" s="5"/>
    </row>
  </sheetData>
  <mergeCells count="14">
    <mergeCell ref="A3:E4"/>
    <mergeCell ref="G4:I4"/>
    <mergeCell ref="J4:K4"/>
    <mergeCell ref="G5:I5"/>
    <mergeCell ref="J5:K5"/>
    <mergeCell ref="G9:I9"/>
    <mergeCell ref="J9:K9"/>
    <mergeCell ref="G3:K3"/>
    <mergeCell ref="G6:I6"/>
    <mergeCell ref="J6:K6"/>
    <mergeCell ref="G7:I7"/>
    <mergeCell ref="J7:K7"/>
    <mergeCell ref="G8:I8"/>
    <mergeCell ref="J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rahulmeshram8006@outlook.com</cp:lastModifiedBy>
  <dcterms:created xsi:type="dcterms:W3CDTF">2011-10-09T12:51:01Z</dcterms:created>
  <dcterms:modified xsi:type="dcterms:W3CDTF">2025-11-25T14:10:30Z</dcterms:modified>
</cp:coreProperties>
</file>