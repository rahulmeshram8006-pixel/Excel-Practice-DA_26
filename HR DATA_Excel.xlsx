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8.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3.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536F97F3-BFE7-485E-B180-8D8902E768C9}" xr6:coauthVersionLast="47" xr6:coauthVersionMax="47" xr10:uidLastSave="{00000000-0000-0000-0000-000000000000}"/>
  <bookViews>
    <workbookView xWindow="-108" yWindow="-108" windowWidth="23256" windowHeight="13896" firstSheet="6" activeTab="12" xr2:uid="{00000000-000D-0000-FFFF-FFFF00000000}"/>
  </bookViews>
  <sheets>
    <sheet name="Rating" sheetId="9" r:id="rId1"/>
    <sheet name="Sheet1" sheetId="10" r:id="rId2"/>
    <sheet name="Education Attrition" sheetId="11" r:id="rId3"/>
    <sheet name="Attrition by Job" sheetId="12" r:id="rId4"/>
    <sheet name="Dept wise job Role" sheetId="13" r:id="rId5"/>
    <sheet name="Attrition by Age Group" sheetId="14" r:id="rId6"/>
    <sheet name="Marital Status" sheetId="15" r:id="rId7"/>
    <sheet name="Data" sheetId="1" r:id="rId8"/>
    <sheet name="KPI" sheetId="7" r:id="rId9"/>
    <sheet name="Images" sheetId="2" r:id="rId10"/>
    <sheet name="Background 1" sheetId="3" r:id="rId11"/>
    <sheet name="Background 2" sheetId="4" r:id="rId12"/>
    <sheet name="Dashboard" sheetId="8" r:id="rId13"/>
    <sheet name="Background 3" sheetId="5" r:id="rId14"/>
    <sheet name="Background 4" sheetId="6" r:id="rId15"/>
  </sheets>
  <definedNames>
    <definedName name="_xlchart.v1.0" hidden="1">'Attrition by Job'!$D$4:$D$12</definedName>
    <definedName name="_xlchart.v1.1" hidden="1">'Attrition by Job'!$E$4:$E$12</definedName>
    <definedName name="_xlchart.v1.5" hidden="1">'Attrition by Job'!$D$4:$D$12</definedName>
    <definedName name="_xlchart.v1.6" hidden="1">'Attrition by Job'!$E$4:$E$12</definedName>
    <definedName name="_xlchart.v2.2" hidden="1">'Marital Status'!$D$4:$D$6</definedName>
    <definedName name="_xlchart.v2.3" hidden="1">'Marital Status'!$E$3</definedName>
    <definedName name="_xlchart.v2.4" hidden="1">'Marital Status'!$E$4:$E$6</definedName>
    <definedName name="_xlchart.v2.7" hidden="1">'Marital Status'!$D$4:$D$6</definedName>
    <definedName name="_xlchart.v2.8" hidden="1">'Marital Status'!$E$3</definedName>
    <definedName name="_xlchart.v2.9" hidden="1">'Marital Status'!$E$4:$E$6</definedName>
    <definedName name="Slicer_Department">#N/A</definedName>
    <definedName name="Slicer_Education">#N/A</definedName>
    <definedName name="Slicer_Education_Field1">#N/A</definedName>
    <definedName name="Slicer_Gender2">#N/A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4" roundtripDataChecksum="0W7NtiAel2xy0cZdwUBcRsMoEuXg6pzXui43o1bypBA="/>
    </ext>
  </extLst>
</workbook>
</file>

<file path=xl/calcChain.xml><?xml version="1.0" encoding="utf-8"?>
<calcChain xmlns="http://schemas.openxmlformats.org/spreadsheetml/2006/main">
  <c r="D6" i="15" l="1"/>
  <c r="D5" i="15"/>
  <c r="D4" i="15"/>
  <c r="D5" i="12"/>
  <c r="D6" i="12"/>
  <c r="D7" i="12"/>
  <c r="D8" i="12"/>
  <c r="D9" i="12"/>
  <c r="D10" i="12"/>
  <c r="D11" i="12"/>
  <c r="D12" i="12"/>
  <c r="D4" i="12"/>
  <c r="F19" i="7"/>
  <c r="E9" i="12"/>
  <c r="B7" i="9"/>
  <c r="E4" i="12"/>
  <c r="B9" i="10"/>
  <c r="E11" i="12"/>
  <c r="B19" i="7"/>
  <c r="E6" i="15"/>
  <c r="B10" i="10"/>
  <c r="E4" i="15"/>
  <c r="E5" i="12"/>
  <c r="E5" i="15"/>
  <c r="E6" i="12"/>
  <c r="E7" i="12"/>
  <c r="E8" i="12"/>
  <c r="E10" i="12"/>
  <c r="E12" i="12"/>
  <c r="D19" i="7"/>
  <c r="C10" i="10" l="1"/>
  <c r="C9" i="10"/>
  <c r="B8" i="9"/>
  <c r="C8" i="9" s="1"/>
  <c r="C7" i="9"/>
  <c r="G19" i="7"/>
  <c r="H19" i="7"/>
</calcChain>
</file>

<file path=xl/sharedStrings.xml><?xml version="1.0" encoding="utf-8"?>
<sst xmlns="http://schemas.openxmlformats.org/spreadsheetml/2006/main" count="19216" uniqueCount="1571">
  <si>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</si>
  <si>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</si>
  <si>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</si>
  <si>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</si>
  <si>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</si>
  <si>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</si>
  <si>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</si>
  <si>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</si>
  <si>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</si>
  <si>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</si>
  <si>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</si>
  <si>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</si>
  <si>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</si>
  <si>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</si>
  <si>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</si>
  <si>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</si>
  <si>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</si>
  <si>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</si>
  <si>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</si>
  <si>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</si>
  <si>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</si>
  <si>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</si>
  <si>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</si>
  <si>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</si>
  <si>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</si>
  <si>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</si>
  <si>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</si>
  <si>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</si>
  <si>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</si>
  <si>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</si>
  <si>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</si>
  <si>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</si>
  <si>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</si>
  <si>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</si>
  <si>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</si>
  <si>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</si>
  <si>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</si>
  <si>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</si>
  <si>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</si>
  <si>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</si>
  <si>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</si>
  <si>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</si>
  <si>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</si>
  <si>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</si>
  <si>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</si>
  <si>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</si>
  <si>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</si>
  <si>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</si>
  <si>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</si>
  <si>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</si>
  <si>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</si>
  <si>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</si>
  <si>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</si>
  <si>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</si>
  <si>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</si>
  <si>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</si>
  <si>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</si>
  <si>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</si>
  <si>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</si>
  <si>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</si>
  <si>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</si>
  <si>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</si>
  <si>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</si>
  <si>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</si>
  <si>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</si>
  <si>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</si>
  <si>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</si>
  <si>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</si>
  <si>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</si>
  <si>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</si>
  <si>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</si>
  <si>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</si>
  <si>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</si>
  <si>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</si>
  <si>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</si>
  <si>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</si>
  <si>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</si>
  <si>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</si>
  <si>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</si>
  <si>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</si>
  <si>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</si>
  <si>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</si>
  <si>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</si>
  <si>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</si>
  <si>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</si>
  <si>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</si>
  <si>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</si>
  <si>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</si>
  <si>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</si>
  <si>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</si>
  <si>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</si>
  <si>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</si>
  <si>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</si>
  <si>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</si>
  <si>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</si>
  <si>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</si>
  <si>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</si>
  <si>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</si>
  <si>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</si>
  <si>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</si>
  <si>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</si>
  <si>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</si>
  <si>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</si>
  <si>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</si>
  <si>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</si>
  <si>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</si>
  <si>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</si>
  <si>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</si>
  <si>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</si>
  <si>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</si>
  <si>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</si>
  <si>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</si>
  <si>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</si>
  <si>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</si>
  <si>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</si>
  <si>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</si>
  <si>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</si>
  <si>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</si>
  <si>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</si>
  <si>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</si>
  <si>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</si>
  <si>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</si>
  <si>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</si>
  <si>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</si>
  <si>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</si>
  <si>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</si>
  <si>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</si>
  <si>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</si>
  <si>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</si>
  <si>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</si>
  <si>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</si>
  <si>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</si>
  <si>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</si>
  <si>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</si>
  <si>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</si>
  <si>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</si>
  <si>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</si>
  <si>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</si>
  <si>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</si>
  <si>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</si>
  <si>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</si>
  <si>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</si>
  <si>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</si>
  <si>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</si>
  <si>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</si>
  <si>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</si>
  <si>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</si>
  <si>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</si>
  <si>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</si>
  <si>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</si>
  <si>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</si>
  <si>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</si>
  <si>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</si>
  <si>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</si>
  <si>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</si>
  <si>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</si>
  <si>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</si>
  <si>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</si>
  <si>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</si>
  <si>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</si>
  <si>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</si>
  <si>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</si>
  <si>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</si>
  <si>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</si>
  <si>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</si>
  <si>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</si>
  <si>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</si>
  <si>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</si>
  <si>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</si>
  <si>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</si>
  <si>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</si>
  <si>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</si>
  <si>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</si>
  <si>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</si>
  <si>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</si>
  <si>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</si>
  <si>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</si>
  <si>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</si>
  <si>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</si>
  <si>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</si>
  <si>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</si>
  <si>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</si>
  <si>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</si>
  <si>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</si>
  <si>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</si>
  <si>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</si>
  <si>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</si>
  <si>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</si>
  <si>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</si>
  <si>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</si>
  <si>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</si>
  <si>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</si>
  <si>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</si>
  <si>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</si>
  <si>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</si>
  <si>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</si>
  <si>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</si>
  <si>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</si>
  <si>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</si>
  <si>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</si>
  <si>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</si>
  <si>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</si>
  <si>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</si>
  <si>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</si>
  <si>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</si>
  <si>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</si>
  <si>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</si>
  <si>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</si>
  <si>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</si>
  <si>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</si>
  <si>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</si>
  <si>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</si>
  <si>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</si>
  <si>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</si>
  <si>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</si>
  <si>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</si>
  <si>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</si>
  <si>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</si>
  <si>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</si>
  <si>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</si>
  <si>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</si>
  <si>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</si>
  <si>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</si>
  <si>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</si>
  <si>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</si>
  <si>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</si>
  <si>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</si>
  <si>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</si>
  <si>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</si>
  <si>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</si>
  <si>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</si>
  <si>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</si>
  <si>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</si>
  <si>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</si>
  <si>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</si>
  <si>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</si>
  <si>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</si>
  <si>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</si>
  <si>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</si>
  <si>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</si>
  <si>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</si>
  <si>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</si>
  <si>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</si>
  <si>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</si>
  <si>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</si>
  <si>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</si>
  <si>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</si>
  <si>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</si>
  <si>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</si>
  <si>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</si>
  <si>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</si>
  <si>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</si>
  <si>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</si>
  <si>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</si>
  <si>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</si>
  <si>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</si>
  <si>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</si>
  <si>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</si>
  <si>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</si>
  <si>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</si>
  <si>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</si>
  <si>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</si>
  <si>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</si>
  <si>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</si>
  <si>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</si>
  <si>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</si>
  <si>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</si>
  <si>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</si>
  <si>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</si>
  <si>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</si>
  <si>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</si>
  <si>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</si>
  <si>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</si>
  <si>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</si>
  <si>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</si>
  <si>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</si>
  <si>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</si>
  <si>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</si>
  <si>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</si>
  <si>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</si>
  <si>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</si>
  <si>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</si>
  <si>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</si>
  <si>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</si>
  <si>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</si>
  <si>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</si>
  <si>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</si>
  <si>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</si>
  <si>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</si>
  <si>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</si>
  <si>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</si>
  <si>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</si>
  <si>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</si>
  <si>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</si>
  <si>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</si>
  <si>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</si>
  <si>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</si>
  <si>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</si>
  <si>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</si>
  <si>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</si>
  <si>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</si>
  <si>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</si>
  <si>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</si>
  <si>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</si>
  <si>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</si>
  <si>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</si>
  <si>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</si>
  <si>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</si>
  <si>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</si>
  <si>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</si>
  <si>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</si>
  <si>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</si>
  <si>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</si>
  <si>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</si>
  <si>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</si>
  <si>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</si>
  <si>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</si>
  <si>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</si>
  <si>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</si>
  <si>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</si>
  <si>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</si>
  <si>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</si>
  <si>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</si>
  <si>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</si>
  <si>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</si>
  <si>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</si>
  <si>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</si>
  <si>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</si>
  <si>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</si>
  <si>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</si>
  <si>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</si>
  <si>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</si>
  <si>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</si>
  <si>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</si>
  <si>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</si>
  <si>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</si>
  <si>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</si>
  <si>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</si>
  <si>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</si>
  <si>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</si>
  <si>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</si>
  <si>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</si>
  <si>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</si>
  <si>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</si>
  <si>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</si>
  <si>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</si>
  <si>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</si>
  <si>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</si>
  <si>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</si>
  <si>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</si>
  <si>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</si>
  <si>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</si>
  <si>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</si>
  <si>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</si>
  <si>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</si>
  <si>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</si>
  <si>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</si>
  <si>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</si>
  <si>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</si>
  <si>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</si>
  <si>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</si>
  <si>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</si>
  <si>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</si>
  <si>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</si>
  <si>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</si>
  <si>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</si>
  <si>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</si>
  <si>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</si>
  <si>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</si>
  <si>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</si>
  <si>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</si>
  <si>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</si>
  <si>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</si>
  <si>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</si>
  <si>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</si>
  <si>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</si>
  <si>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</si>
  <si>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</si>
  <si>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</si>
  <si>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</si>
  <si>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</si>
  <si>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</si>
  <si>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</si>
  <si>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</si>
  <si>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</si>
  <si>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</si>
  <si>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</si>
  <si>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</si>
  <si>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</si>
  <si>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</si>
  <si>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</si>
  <si>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</si>
  <si>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</si>
  <si>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</si>
  <si>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</si>
  <si>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</si>
  <si>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</si>
  <si>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</si>
  <si>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</si>
  <si>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</si>
  <si>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</si>
  <si>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</si>
  <si>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</si>
  <si>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</si>
  <si>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</si>
  <si>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</si>
  <si>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</si>
  <si>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</si>
  <si>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</si>
  <si>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</si>
  <si>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</si>
  <si>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</si>
  <si>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</si>
  <si>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</si>
  <si>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</si>
  <si>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</si>
  <si>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</si>
  <si>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</si>
  <si>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</si>
  <si>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</si>
  <si>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</si>
  <si>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</si>
  <si>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</si>
  <si>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</si>
  <si>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</si>
  <si>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</si>
  <si>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</si>
  <si>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</si>
  <si>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</si>
  <si>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</si>
  <si>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</si>
  <si>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</si>
  <si>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</si>
  <si>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</si>
  <si>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</si>
  <si>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</si>
  <si>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</si>
  <si>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</si>
  <si>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</si>
  <si>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</si>
  <si>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</si>
  <si>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</si>
  <si>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</si>
  <si>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</si>
  <si>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</si>
  <si>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</si>
  <si>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</si>
  <si>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</si>
  <si>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</si>
  <si>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</si>
  <si>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</si>
  <si>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</si>
  <si>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</si>
  <si>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</si>
  <si>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</si>
  <si>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</si>
  <si>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</si>
  <si>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</si>
  <si>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</si>
  <si>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</si>
  <si>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</si>
  <si>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</si>
  <si>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</si>
  <si>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</si>
  <si>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</si>
  <si>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</si>
  <si>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</si>
  <si>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</si>
  <si>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</si>
  <si>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</si>
  <si>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</si>
  <si>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</si>
  <si>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</si>
  <si>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</si>
  <si>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</si>
  <si>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</si>
  <si>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</si>
  <si>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</si>
  <si>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</si>
  <si>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</si>
  <si>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</si>
  <si>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</si>
  <si>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</si>
  <si>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</si>
  <si>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</si>
  <si>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</si>
  <si>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</si>
  <si>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</si>
  <si>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</si>
  <si>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</si>
  <si>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</si>
  <si>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</si>
  <si>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</si>
  <si>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</si>
  <si>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</si>
  <si>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</si>
  <si>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</si>
  <si>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</si>
  <si>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</si>
  <si>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</si>
  <si>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</si>
  <si>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</si>
  <si>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</si>
  <si>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</si>
  <si>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</si>
  <si>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</si>
  <si>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</si>
  <si>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</si>
  <si>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</si>
  <si>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</si>
  <si>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</si>
  <si>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</si>
  <si>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</si>
  <si>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</si>
  <si>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</si>
  <si>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</si>
  <si>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</si>
  <si>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</si>
  <si>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</si>
  <si>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</si>
  <si>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</si>
  <si>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</si>
  <si>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</si>
  <si>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</si>
  <si>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</si>
  <si>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</si>
  <si>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</si>
  <si>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</si>
  <si>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</si>
  <si>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</si>
  <si>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</si>
  <si>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</si>
  <si>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</si>
  <si>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</si>
  <si>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</si>
  <si>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</si>
  <si>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</si>
  <si>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</si>
  <si>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</si>
  <si>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</si>
  <si>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</si>
  <si>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</si>
  <si>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</si>
  <si>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</si>
  <si>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</si>
  <si>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</si>
  <si>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</si>
  <si>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</si>
  <si>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</si>
  <si>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</si>
  <si>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</si>
  <si>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</si>
  <si>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</si>
  <si>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</si>
  <si>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</si>
  <si>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</si>
  <si>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</si>
  <si>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</si>
  <si>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</si>
  <si>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</si>
  <si>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</si>
  <si>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</si>
  <si>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</si>
  <si>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</si>
  <si>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</si>
  <si>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</si>
  <si>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</si>
  <si>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</si>
  <si>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</si>
  <si>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</si>
  <si>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</si>
  <si>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</si>
  <si>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</si>
  <si>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</si>
  <si>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</si>
  <si>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</si>
  <si>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</si>
  <si>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</si>
  <si>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</si>
  <si>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</si>
  <si>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</si>
  <si>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</si>
  <si>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</si>
  <si>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</si>
  <si>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</si>
  <si>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</si>
  <si>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</si>
  <si>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</si>
  <si>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</si>
  <si>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</si>
  <si>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</si>
  <si>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</si>
  <si>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</si>
  <si>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</si>
  <si>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</si>
  <si>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</si>
  <si>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</si>
  <si>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</si>
  <si>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</si>
  <si>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</si>
  <si>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</si>
  <si>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</si>
  <si>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</si>
  <si>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</si>
  <si>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</si>
  <si>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</si>
  <si>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</si>
  <si>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</si>
  <si>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</si>
  <si>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</si>
  <si>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</si>
  <si>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</si>
  <si>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</si>
  <si>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</si>
  <si>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</si>
  <si>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</si>
  <si>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</si>
  <si>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</si>
  <si>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</si>
  <si>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</si>
  <si>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</si>
  <si>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</si>
  <si>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</si>
  <si>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</si>
  <si>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</si>
  <si>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</si>
  <si>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</si>
  <si>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</si>
  <si>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</si>
  <si>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</si>
  <si>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</si>
  <si>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</si>
  <si>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</si>
  <si>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</si>
  <si>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</si>
  <si>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</si>
  <si>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</si>
  <si>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</si>
  <si>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</si>
  <si>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</si>
  <si>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</si>
  <si>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</si>
  <si>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</si>
  <si>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</si>
  <si>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</si>
  <si>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</si>
  <si>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</si>
  <si>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</si>
  <si>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</si>
  <si>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</si>
  <si>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</si>
  <si>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</si>
  <si>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</si>
  <si>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</si>
  <si>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</si>
  <si>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</si>
  <si>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</si>
  <si>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</si>
  <si>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</si>
  <si>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</si>
  <si>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</si>
  <si>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</si>
  <si>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</si>
  <si>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</si>
  <si>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</si>
  <si>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</si>
  <si>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</si>
  <si>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</si>
  <si>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</si>
  <si>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</si>
  <si>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</si>
  <si>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</si>
  <si>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</si>
  <si>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</si>
  <si>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</si>
  <si>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</si>
  <si>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</si>
  <si>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</si>
  <si>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</si>
  <si>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</si>
  <si>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</si>
  <si>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</si>
  <si>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</si>
  <si>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</si>
  <si>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</si>
  <si>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</si>
  <si>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</si>
  <si>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</si>
  <si>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</si>
  <si>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</si>
  <si>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</si>
  <si>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</si>
  <si>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</si>
  <si>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</si>
  <si>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</si>
  <si>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</si>
  <si>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</si>
  <si>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</si>
  <si>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</si>
  <si>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</si>
  <si>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</si>
  <si>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</si>
  <si>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</si>
  <si>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</si>
  <si>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</si>
  <si>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</si>
  <si>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</si>
  <si>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</si>
  <si>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</si>
  <si>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</si>
  <si>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</si>
  <si>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</si>
  <si>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</si>
  <si>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</si>
  <si>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</si>
  <si>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</si>
  <si>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</si>
  <si>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</si>
  <si>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</si>
  <si>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</si>
  <si>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</si>
  <si>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</si>
  <si>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</si>
  <si>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</si>
  <si>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</si>
  <si>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</si>
  <si>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</si>
  <si>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</si>
  <si>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</si>
  <si>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</si>
  <si>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</si>
  <si>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</si>
  <si>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</si>
  <si>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</si>
  <si>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</si>
  <si>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</si>
  <si>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</si>
  <si>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</si>
  <si>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</si>
  <si>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</si>
  <si>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</si>
  <si>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</si>
  <si>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</si>
  <si>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</si>
  <si>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</si>
  <si>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</si>
  <si>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</si>
  <si>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</si>
  <si>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</si>
  <si>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</si>
  <si>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</si>
  <si>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</si>
  <si>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</si>
  <si>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</si>
  <si>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</si>
  <si>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</si>
  <si>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</si>
  <si>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</si>
  <si>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</si>
  <si>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</si>
  <si>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</si>
  <si>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</si>
  <si>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</si>
  <si>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</si>
  <si>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</si>
  <si>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</si>
  <si>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</si>
  <si>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</si>
  <si>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</si>
  <si>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</si>
  <si>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</si>
  <si>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</si>
  <si>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</si>
  <si>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</si>
  <si>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</si>
  <si>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</si>
  <si>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</si>
  <si>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</si>
  <si>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</si>
  <si>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</si>
  <si>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</si>
  <si>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</si>
  <si>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</si>
  <si>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</si>
  <si>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</si>
  <si>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</si>
  <si>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</si>
  <si>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</si>
  <si>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</si>
  <si>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</si>
  <si>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</si>
  <si>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</si>
  <si>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</si>
  <si>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</si>
  <si>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</si>
  <si>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</si>
  <si>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</si>
  <si>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</si>
  <si>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</si>
  <si>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</si>
  <si>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</si>
  <si>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</si>
  <si>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</si>
  <si>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</si>
  <si>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</si>
  <si>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</si>
  <si>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</si>
  <si>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</si>
  <si>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</si>
  <si>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</si>
  <si>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</si>
  <si>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</si>
  <si>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</si>
  <si>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</si>
  <si>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</si>
  <si>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</si>
  <si>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</si>
  <si>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</si>
  <si>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</si>
  <si>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</si>
  <si>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</si>
  <si>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</si>
  <si>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</si>
  <si>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</si>
  <si>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</si>
  <si>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</si>
  <si>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</si>
  <si>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</si>
  <si>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</si>
  <si>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</si>
  <si>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</si>
  <si>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</si>
  <si>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</si>
  <si>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</si>
  <si>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</si>
  <si>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</si>
  <si>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</si>
  <si>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</si>
  <si>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</si>
  <si>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</si>
  <si>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</si>
  <si>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</si>
  <si>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</si>
  <si>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</si>
  <si>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</si>
  <si>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</si>
  <si>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</si>
  <si>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</si>
  <si>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</si>
  <si>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</si>
  <si>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</si>
  <si>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</si>
  <si>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</si>
  <si>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</si>
  <si>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</si>
  <si>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</si>
  <si>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</si>
  <si>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</si>
  <si>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</si>
  <si>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</si>
  <si>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</si>
  <si>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</si>
  <si>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</si>
  <si>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</si>
  <si>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</si>
  <si>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</si>
  <si>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</si>
  <si>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</si>
  <si>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</si>
  <si>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</si>
  <si>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</si>
  <si>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</si>
  <si>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</si>
  <si>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</si>
  <si>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</si>
  <si>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</si>
  <si>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</si>
  <si>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</si>
  <si>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</si>
  <si>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</si>
  <si>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</si>
  <si>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</si>
  <si>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</si>
  <si>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</si>
  <si>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</si>
  <si>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</si>
  <si>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</si>
  <si>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</si>
  <si>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</si>
  <si>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</si>
  <si>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</si>
  <si>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</si>
  <si>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</si>
  <si>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</si>
  <si>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</si>
  <si>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</si>
  <si>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</si>
  <si>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</si>
  <si>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</si>
  <si>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</si>
  <si>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</si>
  <si>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</si>
  <si>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</si>
  <si>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</si>
  <si>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</si>
  <si>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</si>
  <si>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</si>
  <si>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</si>
  <si>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</si>
  <si>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</si>
  <si>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</si>
  <si>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</si>
  <si>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</si>
  <si>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</si>
  <si>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</si>
  <si>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</si>
  <si>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</si>
  <si>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</si>
  <si>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</si>
  <si>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</si>
  <si>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</si>
  <si>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</si>
  <si>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</si>
  <si>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</si>
  <si>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</si>
  <si>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</si>
  <si>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</si>
  <si>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</si>
  <si>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</si>
  <si>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</si>
  <si>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</si>
  <si>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</si>
  <si>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</si>
  <si>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</si>
  <si>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</si>
  <si>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</si>
  <si>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</si>
  <si>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</si>
  <si>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</si>
  <si>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</si>
  <si>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</si>
  <si>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</si>
  <si>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</si>
  <si>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</si>
  <si>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</si>
  <si>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</si>
  <si>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</si>
  <si>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</si>
  <si>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</si>
  <si>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</si>
  <si>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</si>
  <si>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</si>
  <si>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</si>
  <si>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</si>
  <si>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</si>
  <si>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</si>
  <si>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</si>
  <si>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</si>
  <si>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</si>
  <si>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</si>
  <si>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</si>
  <si>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</si>
  <si>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</si>
  <si>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</si>
  <si>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</si>
  <si>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</si>
  <si>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</si>
  <si>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</si>
  <si>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</si>
  <si>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</si>
  <si>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</si>
  <si>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</si>
  <si>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</si>
  <si>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</si>
  <si>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</si>
  <si>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</si>
  <si>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</si>
  <si>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</si>
  <si>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</si>
  <si>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</si>
  <si>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</si>
  <si>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</si>
  <si>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</si>
  <si>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</si>
  <si>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</si>
  <si>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</si>
  <si>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</si>
  <si>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</si>
  <si>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</si>
  <si>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</si>
  <si>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</si>
  <si>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</si>
  <si>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</si>
  <si>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</si>
  <si>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</si>
  <si>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</si>
  <si>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</si>
  <si>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</si>
  <si>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</si>
  <si>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</si>
  <si>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</si>
  <si>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</si>
  <si>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</si>
  <si>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</si>
  <si>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</si>
  <si>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</si>
  <si>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</si>
  <si>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</si>
  <si>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</si>
  <si>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</si>
  <si>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</si>
  <si>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</si>
  <si>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</si>
  <si>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</si>
  <si>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</si>
  <si>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</si>
  <si>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</si>
  <si>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</si>
  <si>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</si>
  <si>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</si>
  <si>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</si>
  <si>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</si>
  <si>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</si>
  <si>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</si>
  <si>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</si>
  <si>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</si>
  <si>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</si>
  <si>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</si>
  <si>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</si>
  <si>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</si>
  <si>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</si>
  <si>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</si>
  <si>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</si>
  <si>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</si>
  <si>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</si>
  <si>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</si>
  <si>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</si>
  <si>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</si>
  <si>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</si>
  <si>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</si>
  <si>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</si>
  <si>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</si>
  <si>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</si>
  <si>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</si>
  <si>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</si>
  <si>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</si>
  <si>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</si>
  <si>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</si>
  <si>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</si>
  <si>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</si>
  <si>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</si>
  <si>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</si>
  <si>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</si>
  <si>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</si>
  <si>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</si>
  <si>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</si>
  <si>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</si>
  <si>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</si>
  <si>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</si>
  <si>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</si>
  <si>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</si>
  <si>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</si>
  <si>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</si>
  <si>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</si>
  <si>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</si>
  <si>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</si>
  <si>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</si>
  <si>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</si>
  <si>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</si>
  <si>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</si>
  <si>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</si>
  <si>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</si>
  <si>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</si>
  <si>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</si>
  <si>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</si>
  <si>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</si>
  <si>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</si>
  <si>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</si>
  <si>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</si>
  <si>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</si>
  <si>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</si>
  <si>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</si>
  <si>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</si>
  <si>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</si>
  <si>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</si>
  <si>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</si>
  <si>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</si>
  <si>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</si>
  <si>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</si>
  <si>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</si>
  <si>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</si>
  <si>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</si>
  <si>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</si>
  <si>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</si>
  <si>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</si>
  <si>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</si>
  <si>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</si>
  <si>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</si>
  <si>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</si>
  <si>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</si>
  <si>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</si>
  <si>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</si>
  <si>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</si>
  <si>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</si>
  <si>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</si>
  <si>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</si>
  <si>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</si>
  <si>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</si>
  <si>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</si>
  <si>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</si>
  <si>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</si>
  <si>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</si>
  <si>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</si>
  <si>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</si>
  <si>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</si>
  <si>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</si>
  <si>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</si>
  <si>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</si>
  <si>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</si>
  <si>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</si>
  <si>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</si>
  <si>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</si>
  <si>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</si>
  <si>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</si>
  <si>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</si>
  <si>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</si>
  <si>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</si>
  <si>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</si>
  <si>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</si>
  <si>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</si>
  <si>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</si>
  <si>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</si>
  <si>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</si>
  <si>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</si>
  <si>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</si>
  <si>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</si>
  <si>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</si>
  <si>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</si>
  <si>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</si>
  <si>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</si>
  <si>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</si>
  <si>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</si>
  <si>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</si>
  <si>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</si>
  <si>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</si>
  <si>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</si>
  <si>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</si>
  <si>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</si>
  <si>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</si>
  <si>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</si>
  <si>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</si>
  <si>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</si>
  <si>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</si>
  <si>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</si>
  <si>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</si>
  <si>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</si>
  <si>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</si>
  <si>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</si>
  <si>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</si>
  <si>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</si>
  <si>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</si>
  <si>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</si>
  <si>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</si>
  <si>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</si>
  <si>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</si>
  <si>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</si>
  <si>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</si>
  <si>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</si>
  <si>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</si>
  <si>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</si>
  <si>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</si>
  <si>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</si>
  <si>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</si>
  <si>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</si>
  <si>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</si>
  <si>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</si>
  <si>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</si>
  <si>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</si>
  <si>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</si>
  <si>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</si>
  <si>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</si>
  <si>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</si>
  <si>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</si>
  <si>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</si>
  <si>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</si>
  <si>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</si>
  <si>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</si>
  <si>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</si>
  <si>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</si>
  <si>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</si>
  <si>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</si>
  <si>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</si>
  <si>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</si>
  <si>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</si>
  <si>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</si>
  <si>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</si>
  <si>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</si>
  <si>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</si>
  <si>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</si>
  <si>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</si>
  <si>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</si>
  <si>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</si>
  <si>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</si>
  <si>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</si>
  <si>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</si>
  <si>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</si>
  <si>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</si>
  <si>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</si>
  <si>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</si>
  <si>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</si>
  <si>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</si>
  <si>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</si>
  <si>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</si>
  <si>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</si>
  <si>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</si>
  <si>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</si>
  <si>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</si>
  <si>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</si>
  <si>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</si>
  <si>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</si>
  <si>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</si>
  <si>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</si>
  <si>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</si>
  <si>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</si>
  <si>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</si>
  <si>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</si>
  <si>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</si>
  <si>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</si>
  <si>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</si>
  <si>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</si>
  <si>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</si>
  <si>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</si>
  <si>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</si>
  <si>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</si>
  <si>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</si>
  <si>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</si>
  <si>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</si>
  <si>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</si>
  <si>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</si>
  <si>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</si>
  <si>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</si>
  <si>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</si>
  <si>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</si>
  <si>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</si>
  <si>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</si>
  <si>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</si>
  <si>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</si>
  <si>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</si>
  <si>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</si>
  <si>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</si>
  <si>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</si>
  <si>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</si>
  <si>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</si>
  <si>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</si>
  <si>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</si>
  <si>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</si>
  <si>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</si>
  <si>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</si>
  <si>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</si>
  <si>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</si>
  <si>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</si>
  <si>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</si>
  <si>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</si>
  <si>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</si>
  <si>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</si>
  <si>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</si>
  <si>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</si>
  <si>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</si>
  <si>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</si>
  <si>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</si>
  <si>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</si>
  <si>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</si>
  <si>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</si>
  <si>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</si>
  <si>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</si>
  <si>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</si>
  <si>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</si>
  <si>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</si>
  <si>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</si>
  <si>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</si>
  <si>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</si>
  <si>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</si>
  <si>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</si>
  <si>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</si>
  <si>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</si>
  <si>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</si>
  <si>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</si>
  <si>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</si>
  <si>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</si>
  <si>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</si>
  <si>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</si>
  <si>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</si>
  <si>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</si>
  <si>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</si>
  <si>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</si>
  <si>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</si>
  <si>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</si>
  <si>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</si>
  <si>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</si>
  <si>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</si>
  <si>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</si>
  <si>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</si>
  <si>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</si>
  <si>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</si>
  <si>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</si>
  <si>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</si>
  <si>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</si>
  <si>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</si>
  <si>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</si>
  <si>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</si>
  <si>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</si>
  <si>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</si>
  <si>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</si>
  <si>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</si>
  <si>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</si>
  <si>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</si>
  <si>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</si>
  <si>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</si>
  <si>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</si>
  <si>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</si>
  <si>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</si>
  <si>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</si>
  <si>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</si>
  <si>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</si>
  <si>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</si>
  <si>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</si>
  <si>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</si>
  <si>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</si>
  <si>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</si>
  <si>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</si>
  <si>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</si>
  <si>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</si>
  <si>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</si>
  <si>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</si>
  <si>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</si>
  <si>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</si>
  <si>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</si>
  <si>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</si>
  <si>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</si>
  <si>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</si>
  <si>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</si>
  <si>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</si>
  <si>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</si>
  <si>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</si>
  <si>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</si>
  <si>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</si>
  <si>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</si>
  <si>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</si>
  <si>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</si>
  <si>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</si>
  <si>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</si>
  <si>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</si>
  <si>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</si>
  <si>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</si>
  <si>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</si>
  <si>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</si>
  <si>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</si>
  <si>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</si>
  <si>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</si>
  <si>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</si>
  <si>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</si>
  <si>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</si>
  <si>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</si>
  <si>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</si>
  <si>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</si>
  <si>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</si>
  <si>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</si>
  <si>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</si>
  <si>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</si>
  <si>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</si>
  <si>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</si>
  <si>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</si>
  <si>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</si>
  <si>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</si>
  <si>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</si>
  <si>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</si>
  <si>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</si>
  <si>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</si>
  <si>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</si>
  <si>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</si>
  <si>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</si>
  <si>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</si>
  <si>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</si>
  <si>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</si>
  <si>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</si>
  <si>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</si>
  <si>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</si>
  <si>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</si>
  <si>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</si>
  <si>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</si>
  <si>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</si>
  <si>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</si>
  <si>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</si>
  <si>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</si>
  <si>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</si>
  <si>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</si>
  <si>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</si>
  <si>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</si>
  <si>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</si>
  <si>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</si>
  <si>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</si>
  <si>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</si>
  <si>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</si>
  <si>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</si>
  <si>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</si>
  <si>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</si>
  <si>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</si>
  <si>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</si>
  <si>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</si>
  <si>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</si>
  <si>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</si>
  <si>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</si>
  <si>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</si>
  <si>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</si>
  <si>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</si>
  <si>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</si>
  <si>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</si>
  <si>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</si>
  <si>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</si>
  <si>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</si>
  <si>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</si>
  <si>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</si>
  <si>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</si>
  <si>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</si>
  <si>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</si>
  <si>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</si>
  <si>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</si>
  <si>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</si>
  <si>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</si>
  <si>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</si>
  <si>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</si>
  <si>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</si>
  <si>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</si>
  <si>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</si>
  <si>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</si>
  <si>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</si>
  <si>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</si>
  <si>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</si>
  <si>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</si>
  <si>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</si>
  <si>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</si>
  <si>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</si>
  <si>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</si>
  <si>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</si>
  <si>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</si>
  <si>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</si>
  <si>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</si>
  <si>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</si>
  <si>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</si>
  <si>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</si>
  <si>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</si>
  <si>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</si>
  <si>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</si>
  <si>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</si>
  <si>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</si>
  <si>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</si>
  <si>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</si>
  <si>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</si>
  <si>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</si>
  <si>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</si>
  <si>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</si>
  <si>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</si>
  <si>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</si>
  <si>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</si>
  <si>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</si>
  <si>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</si>
  <si>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</si>
  <si>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</si>
  <si>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</si>
  <si>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</si>
  <si>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</si>
  <si>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</si>
  <si>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</si>
  <si>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</si>
  <si>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</si>
  <si>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</si>
  <si>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</si>
  <si>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</si>
  <si>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</si>
  <si>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</si>
  <si>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</si>
  <si>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</si>
  <si>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</si>
  <si>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</si>
  <si>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</si>
  <si>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</si>
  <si>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</si>
  <si>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</si>
  <si>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</si>
  <si>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</si>
  <si>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</si>
  <si>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</si>
  <si>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</si>
  <si>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</si>
  <si>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</si>
  <si>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</si>
  <si>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</si>
  <si>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</si>
  <si>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</si>
  <si>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</si>
  <si>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</si>
  <si>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</si>
  <si>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</si>
  <si>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</si>
  <si>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</si>
  <si>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</si>
  <si>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</si>
  <si>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</si>
  <si>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</si>
  <si>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</si>
  <si>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</si>
  <si>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</si>
  <si>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</si>
  <si>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</si>
  <si>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</si>
  <si>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</si>
  <si>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</si>
  <si>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</si>
  <si>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</si>
  <si>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</si>
  <si>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</si>
  <si>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</si>
  <si>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</si>
  <si>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</si>
  <si>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</si>
  <si>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</si>
  <si>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</si>
  <si>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</si>
  <si>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</si>
  <si>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</si>
  <si>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</si>
  <si>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</si>
  <si>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</si>
  <si>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</si>
  <si>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</si>
  <si>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</si>
  <si>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</si>
  <si>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</si>
  <si>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</si>
  <si>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</si>
  <si>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</si>
  <si>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</si>
  <si>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</si>
  <si>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</si>
  <si>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</si>
  <si>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</si>
  <si>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</si>
  <si>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</si>
  <si>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</si>
  <si>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</si>
  <si>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</si>
  <si>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</si>
  <si>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</si>
  <si>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</si>
  <si>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</si>
  <si>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</si>
  <si>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</si>
  <si>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</si>
  <si>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Attration count</t>
  </si>
  <si>
    <t>Average Age</t>
  </si>
  <si>
    <t xml:space="preserve">Active Employees </t>
  </si>
  <si>
    <t>Attrition Rate</t>
  </si>
  <si>
    <t>Average of Job Satisfaction</t>
  </si>
  <si>
    <t>Balance Rating</t>
  </si>
  <si>
    <t>Rating</t>
  </si>
  <si>
    <t>Row Labels</t>
  </si>
  <si>
    <t>Grand Total</t>
  </si>
  <si>
    <t xml:space="preserve"> </t>
  </si>
  <si>
    <t>Count of Employee Count</t>
  </si>
  <si>
    <t>male</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</si>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</sst>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2"/>
      <color theme="1"/>
      <name val="Calibri"/>
      <scheme val="minor"/>
    </font>
    <font>
      <sz val="12"/>
      <color theme="1"/>
      <name val="Calibri"/>
      <scheme val="minor"/>
    </font>
    <font>
      <sz val="12"/>
      <color theme="0" tint="-4.9989318521683403E-2"/>
      <name val="Calibri"/>
      <family val="2"/>
      <scheme val="minor"/>
    </font>
    <font>
      <sz val="12"/>
      <color theme="1"/>
      <name val="Calibri"/>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2" tint="-0.14999847407452621"/>
        <bgColor indexed="64"/>
      </patternFill>
    </fill>
  </fills>
  <borders count="11">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0" fontId="1" fillId="0" borderId="0" xfId="0" applyFont="1"/>
    <xf numFmtId="0" fontId="1" fillId="2" borderId="0" xfId="0" applyFont="1" applyFill="1"/>
    <xf numFmtId="0" fontId="0" fillId="0" borderId="1" xfId="0" applyBorder="1"/>
    <xf numFmtId="0" fontId="0" fillId="0" borderId="2" xfId="0" applyBorder="1"/>
    <xf numFmtId="0" fontId="0" fillId="0" borderId="4" xfId="0" applyBorder="1"/>
    <xf numFmtId="0" fontId="0" fillId="0" borderId="7" xfId="0" applyBorder="1"/>
    <xf numFmtId="9" fontId="0" fillId="0" borderId="0" xfId="1" applyFont="1"/>
    <xf numFmtId="164" fontId="0" fillId="0" borderId="0" xfId="0" applyNumberFormat="1"/>
    <xf numFmtId="1" fontId="0" fillId="0" borderId="0" xfId="0" applyNumberFormat="1"/>
    <xf numFmtId="0" fontId="2" fillId="3" borderId="0" xfId="0" applyFont="1" applyFill="1"/>
    <xf numFmtId="164" fontId="0" fillId="0" borderId="3" xfId="0" applyNumberFormat="1" applyBorder="1"/>
    <xf numFmtId="0" fontId="3" fillId="0" borderId="0" xfId="0" applyFont="1"/>
    <xf numFmtId="0" fontId="0" fillId="0" borderId="1" xfId="0" pivotButton="1" applyBorder="1"/>
    <xf numFmtId="0" fontId="0" fillId="0" borderId="1" xfId="0" applyBorder="1" applyAlignment="1">
      <alignment horizontal="left"/>
    </xf>
    <xf numFmtId="0" fontId="0" fillId="0" borderId="9" xfId="0" applyBorder="1" applyAlignment="1">
      <alignment horizontal="left"/>
    </xf>
    <xf numFmtId="0" fontId="0" fillId="0" borderId="5" xfId="0" applyBorder="1" applyAlignment="1">
      <alignment horizontal="left"/>
    </xf>
    <xf numFmtId="0" fontId="0" fillId="0" borderId="0" xfId="0" applyAlignment="1">
      <alignment horizontal="left"/>
    </xf>
    <xf numFmtId="10" fontId="0" fillId="0" borderId="2" xfId="0" applyNumberFormat="1" applyBorder="1"/>
    <xf numFmtId="10" fontId="0" fillId="0" borderId="10" xfId="0" applyNumberFormat="1" applyBorder="1"/>
    <xf numFmtId="10" fontId="0" fillId="0" borderId="3" xfId="0" applyNumberFormat="1" applyBorder="1"/>
    <xf numFmtId="0" fontId="0" fillId="0" borderId="2" xfId="0" applyNumberFormat="1" applyBorder="1"/>
    <xf numFmtId="0" fontId="0" fillId="0" borderId="3" xfId="0" applyNumberFormat="1" applyBorder="1"/>
    <xf numFmtId="0" fontId="0" fillId="0" borderId="10" xfId="0" applyNumberFormat="1" applyBorder="1"/>
    <xf numFmtId="0" fontId="0" fillId="0" borderId="5" xfId="0" applyNumberFormat="1" applyBorder="1"/>
    <xf numFmtId="0" fontId="0" fillId="0" borderId="8" xfId="0" applyNumberFormat="1" applyBorder="1"/>
    <xf numFmtId="0" fontId="0" fillId="0" borderId="6" xfId="0" applyNumberFormat="1" applyBorder="1"/>
  </cellXfs>
  <cellStyles count="2">
    <cellStyle name="Normal" xfId="0" builtinId="0"/>
    <cellStyle name="Percent" xfId="1" builtinId="5"/>
  </cellStyles>
  <dxfs count="9">
    <dxf>
      <numFmt numFmtId="164" formatCode="0.0"/>
    </dxf>
    <dxf>
      <numFmt numFmtId="164" formatCode="0.0"/>
    </dxf>
    <dxf>
      <numFmt numFmtId="164" formatCode="0.0"/>
    </dxf>
    <dxf>
      <fill>
        <patternFill patternType="solid">
          <fgColor indexed="64"/>
          <bgColor theme="8" tint="0.39997558519241921"/>
        </patternFill>
      </fill>
    </dxf>
    <dxf>
      <numFmt numFmtId="164" formatCode="0.0"/>
    </dxf>
    <dxf>
      <font>
        <b/>
        <i val="0"/>
        <sz val="14"/>
      </font>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8">
    <tableStyle name="Data-style" pivot="0" count="3" xr9:uid="{00000000-0011-0000-FFFF-FFFF00000000}">
      <tableStyleElement type="headerRow" dxfId="8"/>
      <tableStyleElement type="firstRowStripe" dxfId="7"/>
      <tableStyleElement type="secondRowStripe" dxfId="6"/>
    </tableStyle>
    <tableStyle name="new slicer" pivot="0" table="0" count="0" xr9:uid="{2CEAFD2B-BB6E-4BC1-92EA-C0855A294CDB}"/>
    <tableStyle name="Slicer Style 1" pivot="0" table="0" count="1" xr9:uid="{73799E41-AEB1-458C-9F9A-9A7479B77CC3}"/>
    <tableStyle name="Slicer Style 2" pivot="0" table="0" count="1" xr9:uid="{C777446E-60FA-4C59-B418-0D781CF6F952}"/>
    <tableStyle name="Slicer Style 3" pivot="0" table="0" count="1" xr9:uid="{EDACC651-552E-451C-B97A-E576C40733E9}"/>
    <tableStyle name="Slicer Style 4" pivot="0" table="0" count="1" xr9:uid="{1D09A213-1630-49AD-B300-EE8456F4BA07}"/>
    <tableStyle name="Slicer Style 5" pivot="0" table="0" count="1" xr9:uid="{322A38C6-887C-417D-A0C3-8002DDB95C8A}">
      <tableStyleElement type="wholeTable" dxfId="5"/>
    </tableStyle>
    <tableStyle name="Slicer Style 6" pivot="0" table="0" count="0" xr9:uid="{191ECCFC-9867-4A29-8B83-FE7F2BEB4A50}"/>
  </tableStyles>
  <colors>
    <mruColors>
      <color rgb="FFC543A9"/>
      <color rgb="FF83BDCF"/>
      <color rgb="FF80E68F"/>
      <color rgb="FFBC32BC"/>
      <color rgb="FFCB557A"/>
    </mruColors>
  </colors>
  <extLst>
    <ext xmlns:x14="http://schemas.microsoft.com/office/spreadsheetml/2009/9/main" uri="{46F421CA-312F-682f-3DD2-61675219B42D}">
      <x14:dxfs count="4">
        <dxf>
          <font>
            <b/>
            <i val="0"/>
            <sz val="14"/>
          </font>
          <fill>
            <gradientFill degree="90">
              <stop position="0">
                <color theme="0"/>
              </stop>
              <stop position="1">
                <color theme="4"/>
              </stop>
            </gradientFill>
          </fill>
        </dxf>
        <dxf>
          <font>
            <color theme="4" tint="0.39994506668294322"/>
          </font>
        </dxf>
        <dxf>
          <font>
            <b/>
            <i val="0"/>
          </font>
        </dxf>
        <dxf>
          <font>
            <b/>
            <i val="0"/>
            <name val="Calibri"/>
            <family val="2"/>
            <scheme val="major"/>
          </font>
        </dxf>
      </x14:dxfs>
    </ext>
    <ext xmlns:x14="http://schemas.microsoft.com/office/spreadsheetml/2009/9/main" uri="{EB79DEF2-80B8-43e5-95BD-54CBDDF9020C}">
      <x14:slicerStyles defaultSlicerStyle="Slicer Style 6">
        <x14:slicerStyle name="new slicer"/>
        <x14:slicerStyle name="Slicer Style 1">
          <x14:slicerStyleElements>
            <x14:slicerStyleElement type="selectedItemWithData" dxfId="3"/>
          </x14:slicerStyleElements>
        </x14:slicerStyle>
        <x14:slicerStyle name="Slicer Style 2">
          <x14:slicerStyleElements>
            <x14:slicerStyleElement type="hoveredUnselectedItemWithData" dxfId="2"/>
          </x14:slicerStyleElements>
        </x14:slicerStyle>
        <x14:slicerStyle name="Slicer Style 3">
          <x14:slicerStyleElements>
            <x14:slicerStyleElement type="selectedItemWithData" dxfId="1"/>
          </x14:slicerStyleElements>
        </x14:slicerStyle>
        <x14:slicerStyle name="Slicer Style 4">
          <x14:slicerStyleElements>
            <x14:slicerStyleElement type="hoveredSelectedItemWithData" dxfId="0"/>
          </x14:slicerStyleElements>
        </x14:slicerStyle>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customschemas.google.com/relationships/workbookmetadata" Target="metadata"/><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7A-4A32-BC5F-94DB881A5E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7A-4A32-BC5F-94DB881A5E11}"/>
              </c:ext>
            </c:extLst>
          </c:dPt>
          <c:val>
            <c:numRef>
              <c:f>Rating!$C$7:$C$8</c:f>
              <c:numCache>
                <c:formatCode>General</c:formatCode>
                <c:ptCount val="2"/>
                <c:pt idx="0">
                  <c:v>0.61458333333333337</c:v>
                </c:pt>
                <c:pt idx="1">
                  <c:v>0.38541666666666663</c:v>
                </c:pt>
              </c:numCache>
            </c:numRef>
          </c:val>
          <c:extLst>
            <c:ext xmlns:c16="http://schemas.microsoft.com/office/drawing/2014/chart" uri="{C3380CC4-5D6E-409C-BE32-E72D297353CC}">
              <c16:uniqueId val="{00000000-2D1D-425E-ADF1-F4D2671AC84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2.4583333333333335</c:v>
                </c:pt>
              </c:numCache>
            </c:numRef>
          </c:val>
          <c:extLst>
            <c:ext xmlns:c16="http://schemas.microsoft.com/office/drawing/2014/chart" uri="{C3380CC4-5D6E-409C-BE32-E72D297353CC}">
              <c16:uniqueId val="{00000000-240E-47B9-A90C-BA5BC71D8BFD}"/>
            </c:ext>
          </c:extLst>
        </c:ser>
        <c:ser>
          <c:idx val="1"/>
          <c:order val="1"/>
          <c:spPr>
            <a:solidFill>
              <a:schemeClr val="accent2"/>
            </a:solidFill>
            <a:ln>
              <a:noFill/>
            </a:ln>
            <a:effectLst/>
          </c:spPr>
          <c:invertIfNegative val="0"/>
          <c:val>
            <c:numRef>
              <c:f>Rating!$B$8</c:f>
              <c:numCache>
                <c:formatCode>0.0</c:formatCode>
                <c:ptCount val="1"/>
                <c:pt idx="0">
                  <c:v>1.5416666666666665</c:v>
                </c:pt>
              </c:numCache>
            </c:numRef>
          </c:val>
          <c:extLst>
            <c:ext xmlns:c16="http://schemas.microsoft.com/office/drawing/2014/chart" uri="{C3380CC4-5D6E-409C-BE32-E72D297353CC}">
              <c16:uniqueId val="{00000001-240E-47B9-A90C-BA5BC71D8BFD}"/>
            </c:ext>
          </c:extLst>
        </c:ser>
        <c:dLbls>
          <c:showLegendKey val="0"/>
          <c:showVal val="0"/>
          <c:showCatName val="0"/>
          <c:showSerName val="0"/>
          <c:showPercent val="0"/>
          <c:showBubbleSize val="0"/>
        </c:dLbls>
        <c:gapWidth val="0"/>
        <c:overlap val="100"/>
        <c:axId val="772230576"/>
        <c:axId val="772232016"/>
      </c:barChart>
      <c:catAx>
        <c:axId val="772230576"/>
        <c:scaling>
          <c:orientation val="minMax"/>
        </c:scaling>
        <c:delete val="1"/>
        <c:axPos val="l"/>
        <c:majorTickMark val="out"/>
        <c:minorTickMark val="none"/>
        <c:tickLblPos val="nextTo"/>
        <c:crossAx val="772232016"/>
        <c:crosses val="autoZero"/>
        <c:auto val="1"/>
        <c:lblAlgn val="ctr"/>
        <c:lblOffset val="100"/>
        <c:noMultiLvlLbl val="0"/>
      </c:catAx>
      <c:valAx>
        <c:axId val="772232016"/>
        <c:scaling>
          <c:orientation val="minMax"/>
          <c:max val="4"/>
          <c:min val="0"/>
        </c:scaling>
        <c:delete val="1"/>
        <c:axPos val="b"/>
        <c:numFmt formatCode="0.0" sourceLinked="1"/>
        <c:majorTickMark val="out"/>
        <c:minorTickMark val="none"/>
        <c:tickLblPos val="nextTo"/>
        <c:crossAx val="77223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9C-4FD9-A967-736455EA3E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9C-4FD9-A967-736455EA3ECE}"/>
              </c:ext>
            </c:extLst>
          </c:dPt>
          <c:val>
            <c:numRef>
              <c:f>Sheet1!$C$9:$C$10</c:f>
              <c:numCache>
                <c:formatCode>0%</c:formatCode>
                <c:ptCount val="2"/>
                <c:pt idx="0">
                  <c:v>0.4</c:v>
                </c:pt>
                <c:pt idx="1">
                  <c:v>0.6</c:v>
                </c:pt>
              </c:numCache>
            </c:numRef>
          </c:val>
          <c:extLst>
            <c:ext xmlns:c16="http://schemas.microsoft.com/office/drawing/2014/chart" uri="{C3380CC4-5D6E-409C-BE32-E72D297353CC}">
              <c16:uniqueId val="{00000000-5A28-466C-84A5-DF255DB7B21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Attrition!Education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Attrition'!$A$4:$A$9</c:f>
              <c:strCache>
                <c:ptCount val="5"/>
                <c:pt idx="0">
                  <c:v>Doctoral Degree</c:v>
                </c:pt>
                <c:pt idx="1">
                  <c:v>High School</c:v>
                </c:pt>
                <c:pt idx="2">
                  <c:v>Associates Degree</c:v>
                </c:pt>
                <c:pt idx="3">
                  <c:v>Master's Degree</c:v>
                </c:pt>
                <c:pt idx="4">
                  <c:v>Bachelor's Degree</c:v>
                </c:pt>
              </c:strCache>
            </c:strRef>
          </c:cat>
          <c:val>
            <c:numRef>
              <c:f>'Education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0D16-42C6-A7E8-0226FCA3B41F}"/>
            </c:ext>
          </c:extLst>
        </c:ser>
        <c:dLbls>
          <c:dLblPos val="outEnd"/>
          <c:showLegendKey val="0"/>
          <c:showVal val="1"/>
          <c:showCatName val="0"/>
          <c:showSerName val="0"/>
          <c:showPercent val="0"/>
          <c:showBubbleSize val="0"/>
        </c:dLbls>
        <c:gapWidth val="182"/>
        <c:axId val="422977776"/>
        <c:axId val="422979216"/>
      </c:barChart>
      <c:catAx>
        <c:axId val="4229777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979216"/>
        <c:crosses val="autoZero"/>
        <c:auto val="1"/>
        <c:lblAlgn val="ctr"/>
        <c:lblOffset val="100"/>
        <c:noMultiLvlLbl val="0"/>
      </c:catAx>
      <c:valAx>
        <c:axId val="422979216"/>
        <c:scaling>
          <c:orientation val="minMax"/>
        </c:scaling>
        <c:delete val="1"/>
        <c:axPos val="b"/>
        <c:numFmt formatCode="General" sourceLinked="1"/>
        <c:majorTickMark val="out"/>
        <c:minorTickMark val="none"/>
        <c:tickLblPos val="nextTo"/>
        <c:crossAx val="42297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job Role!Dept wise Job Role</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job Role'!$B$3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E9-43C2-8BD9-00B5FF6AA8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E9-43C2-8BD9-00B5FF6AA8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E9-43C2-8BD9-00B5FF6AA822}"/>
              </c:ext>
            </c:extLst>
          </c:dPt>
          <c:cat>
            <c:strRef>
              <c:f>'Dept wise job Role'!$A$4:$A$7</c:f>
              <c:strCache>
                <c:ptCount val="3"/>
                <c:pt idx="0">
                  <c:v>HR</c:v>
                </c:pt>
                <c:pt idx="1">
                  <c:v>R&amp;D</c:v>
                </c:pt>
                <c:pt idx="2">
                  <c:v>Sales</c:v>
                </c:pt>
              </c:strCache>
            </c:strRef>
          </c:cat>
          <c:val>
            <c:numRef>
              <c:f>'Dept wise job Role'!$B$4:$B$7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B483-46B8-B863-CC36B736B95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D671-4D9A-B495-18E202D87D13}"/>
            </c:ext>
          </c:extLst>
        </c:ser>
        <c:dLbls>
          <c:showLegendKey val="0"/>
          <c:showVal val="0"/>
          <c:showCatName val="0"/>
          <c:showSerName val="0"/>
          <c:showPercent val="0"/>
          <c:showBubbleSize val="0"/>
        </c:dLbls>
        <c:gapWidth val="219"/>
        <c:overlap val="-27"/>
        <c:axId val="1215142544"/>
        <c:axId val="1215147344"/>
      </c:barChart>
      <c:catAx>
        <c:axId val="121514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147344"/>
        <c:crosses val="autoZero"/>
        <c:auto val="1"/>
        <c:lblAlgn val="ctr"/>
        <c:lblOffset val="100"/>
        <c:noMultiLvlLbl val="0"/>
      </c:catAx>
      <c:valAx>
        <c:axId val="1215147344"/>
        <c:scaling>
          <c:orientation val="minMax"/>
        </c:scaling>
        <c:delete val="1"/>
        <c:axPos val="l"/>
        <c:numFmt formatCode="General" sourceLinked="1"/>
        <c:majorTickMark val="none"/>
        <c:minorTickMark val="none"/>
        <c:tickLblPos val="nextTo"/>
        <c:crossAx val="121514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142210799668051E-2"/>
          <c:y val="0"/>
          <c:w val="0.8600812844216611"/>
          <c:h val="1"/>
        </c:manualLayout>
      </c:layout>
      <c:doughnutChart>
        <c:varyColors val="1"/>
        <c:ser>
          <c:idx val="0"/>
          <c:order val="0"/>
          <c:spPr>
            <a:ln>
              <a:noFill/>
            </a:ln>
          </c:spPr>
          <c:explosion val="4"/>
          <c:dPt>
            <c:idx val="0"/>
            <c:bubble3D val="0"/>
            <c:spPr>
              <a:solidFill>
                <a:srgbClr val="00B050"/>
              </a:solidFill>
              <a:ln w="19050">
                <a:noFill/>
              </a:ln>
              <a:effectLst/>
            </c:spPr>
            <c:extLst>
              <c:ext xmlns:c16="http://schemas.microsoft.com/office/drawing/2014/chart" uri="{C3380CC4-5D6E-409C-BE32-E72D297353CC}">
                <c16:uniqueId val="{00000001-A67E-4376-8909-E95D4640FE23}"/>
              </c:ext>
            </c:extLst>
          </c:dPt>
          <c:dPt>
            <c:idx val="1"/>
            <c:bubble3D val="0"/>
            <c:spPr>
              <a:solidFill>
                <a:schemeClr val="bg2"/>
              </a:solidFill>
              <a:ln w="19050">
                <a:noFill/>
              </a:ln>
              <a:effectLst/>
            </c:spPr>
            <c:extLst>
              <c:ext xmlns:c16="http://schemas.microsoft.com/office/drawing/2014/chart" uri="{C3380CC4-5D6E-409C-BE32-E72D297353CC}">
                <c16:uniqueId val="{00000003-A67E-4376-8909-E95D4640FE23}"/>
              </c:ext>
            </c:extLst>
          </c:dPt>
          <c:val>
            <c:numRef>
              <c:f>Rating!$C$7:$C$8</c:f>
              <c:numCache>
                <c:formatCode>General</c:formatCode>
                <c:ptCount val="2"/>
                <c:pt idx="0">
                  <c:v>0.61458333333333337</c:v>
                </c:pt>
                <c:pt idx="1">
                  <c:v>0.38541666666666663</c:v>
                </c:pt>
              </c:numCache>
            </c:numRef>
          </c:val>
          <c:extLst>
            <c:ext xmlns:c16="http://schemas.microsoft.com/office/drawing/2014/chart" uri="{C3380CC4-5D6E-409C-BE32-E72D297353CC}">
              <c16:uniqueId val="{00000004-A67E-4376-8909-E95D4640FE23}"/>
            </c:ext>
          </c:extLst>
        </c:ser>
        <c:dLbls>
          <c:showLegendKey val="0"/>
          <c:showVal val="0"/>
          <c:showCatName val="0"/>
          <c:showSerName val="0"/>
          <c:showPercent val="0"/>
          <c:showBubbleSize val="0"/>
          <c:showLeaderLines val="1"/>
        </c:dLbls>
        <c:firstSliceAng val="0"/>
        <c:holeSize val="6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C543A9"/>
            </a:solidFill>
            <a:ln>
              <a:noFill/>
            </a:ln>
            <a:effectLst/>
          </c:spPr>
          <c:invertIfNegative val="0"/>
          <c:val>
            <c:numRef>
              <c:f>Rating!$B$7</c:f>
              <c:numCache>
                <c:formatCode>0.0</c:formatCode>
                <c:ptCount val="1"/>
                <c:pt idx="0">
                  <c:v>2.4583333333333335</c:v>
                </c:pt>
              </c:numCache>
            </c:numRef>
          </c:val>
          <c:extLst>
            <c:ext xmlns:c16="http://schemas.microsoft.com/office/drawing/2014/chart" uri="{C3380CC4-5D6E-409C-BE32-E72D297353CC}">
              <c16:uniqueId val="{00000000-25B1-4281-9605-AAD9CE146753}"/>
            </c:ext>
          </c:extLst>
        </c:ser>
        <c:ser>
          <c:idx val="1"/>
          <c:order val="1"/>
          <c:spPr>
            <a:solidFill>
              <a:schemeClr val="accent1"/>
            </a:solidFill>
            <a:ln>
              <a:noFill/>
            </a:ln>
            <a:effectLst/>
          </c:spPr>
          <c:invertIfNegative val="0"/>
          <c:val>
            <c:numRef>
              <c:f>Rating!$B$8</c:f>
              <c:numCache>
                <c:formatCode>0.0</c:formatCode>
                <c:ptCount val="1"/>
                <c:pt idx="0">
                  <c:v>1.5416666666666665</c:v>
                </c:pt>
              </c:numCache>
            </c:numRef>
          </c:val>
          <c:extLst>
            <c:ext xmlns:c16="http://schemas.microsoft.com/office/drawing/2014/chart" uri="{C3380CC4-5D6E-409C-BE32-E72D297353CC}">
              <c16:uniqueId val="{00000001-25B1-4281-9605-AAD9CE146753}"/>
            </c:ext>
          </c:extLst>
        </c:ser>
        <c:dLbls>
          <c:showLegendKey val="0"/>
          <c:showVal val="0"/>
          <c:showCatName val="0"/>
          <c:showSerName val="0"/>
          <c:showPercent val="0"/>
          <c:showBubbleSize val="0"/>
        </c:dLbls>
        <c:gapWidth val="0"/>
        <c:overlap val="100"/>
        <c:axId val="772230576"/>
        <c:axId val="772232016"/>
      </c:barChart>
      <c:catAx>
        <c:axId val="772230576"/>
        <c:scaling>
          <c:orientation val="minMax"/>
        </c:scaling>
        <c:delete val="1"/>
        <c:axPos val="l"/>
        <c:majorTickMark val="out"/>
        <c:minorTickMark val="none"/>
        <c:tickLblPos val="nextTo"/>
        <c:crossAx val="772232016"/>
        <c:crosses val="autoZero"/>
        <c:auto val="1"/>
        <c:lblAlgn val="ctr"/>
        <c:lblOffset val="100"/>
        <c:noMultiLvlLbl val="0"/>
      </c:catAx>
      <c:valAx>
        <c:axId val="772232016"/>
        <c:scaling>
          <c:orientation val="minMax"/>
          <c:max val="4"/>
          <c:min val="0"/>
        </c:scaling>
        <c:delete val="1"/>
        <c:axPos val="b"/>
        <c:numFmt formatCode="0.0" sourceLinked="1"/>
        <c:majorTickMark val="out"/>
        <c:minorTickMark val="none"/>
        <c:tickLblPos val="nextTo"/>
        <c:crossAx val="77223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926028360730714E-2"/>
          <c:y val="9.6911189947319717E-2"/>
          <c:w val="0.76819743045327993"/>
          <c:h val="0.80617762010536054"/>
        </c:manualLayout>
      </c:layout>
      <c:doughnutChart>
        <c:varyColors val="1"/>
        <c:ser>
          <c:idx val="0"/>
          <c:order val="0"/>
          <c:spPr>
            <a:ln>
              <a:noFill/>
            </a:ln>
          </c:spPr>
          <c:dPt>
            <c:idx val="0"/>
            <c:bubble3D val="0"/>
            <c:spPr>
              <a:solidFill>
                <a:srgbClr val="C543A9">
                  <a:alpha val="92000"/>
                </a:srgbClr>
              </a:solidFill>
              <a:ln w="19050">
                <a:noFill/>
              </a:ln>
              <a:effectLst/>
            </c:spPr>
            <c:extLst>
              <c:ext xmlns:c16="http://schemas.microsoft.com/office/drawing/2014/chart" uri="{C3380CC4-5D6E-409C-BE32-E72D297353CC}">
                <c16:uniqueId val="{00000001-5433-434A-9D70-168FB7B24B16}"/>
              </c:ext>
            </c:extLst>
          </c:dPt>
          <c:dPt>
            <c:idx val="1"/>
            <c:bubble3D val="0"/>
            <c:spPr>
              <a:solidFill>
                <a:schemeClr val="bg2"/>
              </a:solidFill>
              <a:ln w="19050">
                <a:noFill/>
              </a:ln>
              <a:effectLst/>
            </c:spPr>
            <c:extLst>
              <c:ext xmlns:c16="http://schemas.microsoft.com/office/drawing/2014/chart" uri="{C3380CC4-5D6E-409C-BE32-E72D297353CC}">
                <c16:uniqueId val="{00000003-5433-434A-9D70-168FB7B24B16}"/>
              </c:ext>
            </c:extLst>
          </c:dPt>
          <c:val>
            <c:numRef>
              <c:f>Sheet1!$C$9:$C$10</c:f>
              <c:numCache>
                <c:formatCode>0%</c:formatCode>
                <c:ptCount val="2"/>
                <c:pt idx="0">
                  <c:v>0.4</c:v>
                </c:pt>
                <c:pt idx="1">
                  <c:v>0.6</c:v>
                </c:pt>
              </c:numCache>
            </c:numRef>
          </c:val>
          <c:extLst>
            <c:ext xmlns:c16="http://schemas.microsoft.com/office/drawing/2014/chart" uri="{C3380CC4-5D6E-409C-BE32-E72D297353CC}">
              <c16:uniqueId val="{00000004-5433-434A-9D70-168FB7B24B16}"/>
            </c:ext>
          </c:extLst>
        </c:ser>
        <c:dLbls>
          <c:showLegendKey val="0"/>
          <c:showVal val="0"/>
          <c:showCatName val="0"/>
          <c:showSerName val="0"/>
          <c:showPercent val="0"/>
          <c:showBubbleSize val="0"/>
          <c:showLeaderLines val="1"/>
        </c:dLbls>
        <c:firstSliceAng val="0"/>
        <c:holeSize val="73"/>
      </c:doughnutChart>
      <c:spPr>
        <a:noFill/>
        <a:ln>
          <a:noFill/>
        </a:ln>
        <a:effectLst>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75877343619279"/>
          <c:y val="0.13113232938513739"/>
          <c:w val="0.68885953402082434"/>
          <c:h val="0.80767258356846516"/>
        </c:manualLayout>
      </c:layout>
      <c:doughnutChart>
        <c:varyColors val="1"/>
        <c:ser>
          <c:idx val="0"/>
          <c:order val="0"/>
          <c:spPr>
            <a:solidFill>
              <a:srgbClr val="00B0F0"/>
            </a:solidFill>
            <a:ln>
              <a:noFill/>
            </a:ln>
          </c:spPr>
          <c:dPt>
            <c:idx val="0"/>
            <c:bubble3D val="0"/>
            <c:spPr>
              <a:solidFill>
                <a:schemeClr val="bg2"/>
              </a:solidFill>
              <a:ln w="19050">
                <a:noFill/>
              </a:ln>
              <a:effectLst/>
            </c:spPr>
            <c:extLst>
              <c:ext xmlns:c16="http://schemas.microsoft.com/office/drawing/2014/chart" uri="{C3380CC4-5D6E-409C-BE32-E72D297353CC}">
                <c16:uniqueId val="{00000001-F309-4D52-90C0-0C40A031336C}"/>
              </c:ext>
            </c:extLst>
          </c:dPt>
          <c:dPt>
            <c:idx val="1"/>
            <c:bubble3D val="0"/>
            <c:spPr>
              <a:solidFill>
                <a:schemeClr val="accent1">
                  <a:lumMod val="75000"/>
                </a:schemeClr>
              </a:solidFill>
              <a:ln w="19050">
                <a:noFill/>
              </a:ln>
              <a:effectLst/>
            </c:spPr>
            <c:extLst>
              <c:ext xmlns:c16="http://schemas.microsoft.com/office/drawing/2014/chart" uri="{C3380CC4-5D6E-409C-BE32-E72D297353CC}">
                <c16:uniqueId val="{00000003-F309-4D52-90C0-0C40A031336C}"/>
              </c:ext>
            </c:extLst>
          </c:dPt>
          <c:val>
            <c:numRef>
              <c:f>Sheet1!$C$9:$C$10</c:f>
              <c:numCache>
                <c:formatCode>0%</c:formatCode>
                <c:ptCount val="2"/>
                <c:pt idx="0">
                  <c:v>0.4</c:v>
                </c:pt>
                <c:pt idx="1">
                  <c:v>0.6</c:v>
                </c:pt>
              </c:numCache>
            </c:numRef>
          </c:val>
          <c:extLst>
            <c:ext xmlns:c16="http://schemas.microsoft.com/office/drawing/2014/chart" uri="{C3380CC4-5D6E-409C-BE32-E72D297353CC}">
              <c16:uniqueId val="{00000004-F309-4D52-90C0-0C40A031336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Attrition!Education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Attrition'!$B$3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Attrition'!$A$4:$A$9</c:f>
              <c:strCache>
                <c:ptCount val="5"/>
                <c:pt idx="0">
                  <c:v>Doctoral Degree</c:v>
                </c:pt>
                <c:pt idx="1">
                  <c:v>High School</c:v>
                </c:pt>
                <c:pt idx="2">
                  <c:v>Associates Degree</c:v>
                </c:pt>
                <c:pt idx="3">
                  <c:v>Master's Degree</c:v>
                </c:pt>
                <c:pt idx="4">
                  <c:v>Bachelor's Degree</c:v>
                </c:pt>
              </c:strCache>
            </c:strRef>
          </c:cat>
          <c:val>
            <c:numRef>
              <c:f>'Education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60E1-45CC-90B7-3440A6DBCDA9}"/>
            </c:ext>
          </c:extLst>
        </c:ser>
        <c:dLbls>
          <c:dLblPos val="outEnd"/>
          <c:showLegendKey val="0"/>
          <c:showVal val="1"/>
          <c:showCatName val="0"/>
          <c:showSerName val="0"/>
          <c:showPercent val="0"/>
          <c:showBubbleSize val="0"/>
        </c:dLbls>
        <c:gapWidth val="48"/>
        <c:axId val="422977776"/>
        <c:axId val="422979216"/>
      </c:barChart>
      <c:catAx>
        <c:axId val="4229777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422979216"/>
        <c:crosses val="autoZero"/>
        <c:auto val="1"/>
        <c:lblAlgn val="ctr"/>
        <c:lblOffset val="100"/>
        <c:noMultiLvlLbl val="0"/>
      </c:catAx>
      <c:valAx>
        <c:axId val="422979216"/>
        <c:scaling>
          <c:orientation val="minMax"/>
        </c:scaling>
        <c:delete val="1"/>
        <c:axPos val="b"/>
        <c:numFmt formatCode="General" sourceLinked="1"/>
        <c:majorTickMark val="out"/>
        <c:minorTickMark val="none"/>
        <c:tickLblPos val="nextTo"/>
        <c:crossAx val="42297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14300">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job Role!Dept wise Job Role</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0E68F"/>
          </a:solidFill>
          <a:ln w="19050">
            <a:solidFill>
              <a:schemeClr val="lt1"/>
            </a:solidFill>
          </a:ln>
          <a:effectLst/>
        </c:spPr>
      </c:pivotFmt>
      <c:pivotFmt>
        <c:idx val="7"/>
        <c:spPr>
          <a:solidFill>
            <a:srgbClr val="83BDCF"/>
          </a:solidFill>
          <a:ln w="19050">
            <a:solidFill>
              <a:schemeClr val="lt1"/>
            </a:solidFill>
          </a:ln>
          <a:effectLst/>
        </c:spPr>
      </c:pivotFmt>
      <c:pivotFmt>
        <c:idx val="8"/>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w="19050">
            <a:solidFill>
              <a:schemeClr val="lt1"/>
            </a:solidFill>
          </a:ln>
          <a:effectLst/>
        </c:spPr>
      </c:pivotFmt>
    </c:pivotFmts>
    <c:plotArea>
      <c:layout/>
      <c:pieChart>
        <c:varyColors val="1"/>
        <c:ser>
          <c:idx val="0"/>
          <c:order val="0"/>
          <c:tx>
            <c:strRef>
              <c:f>'Dept wise job Role'!$B$3</c:f>
              <c:strCache>
                <c:ptCount val="1"/>
                <c:pt idx="0">
                  <c:v>Total</c:v>
                </c:pt>
              </c:strCache>
            </c:strRef>
          </c:tx>
          <c:dPt>
            <c:idx val="0"/>
            <c:bubble3D val="0"/>
            <c:spPr>
              <a:solidFill>
                <a:srgbClr val="80E68F"/>
              </a:solidFill>
              <a:ln w="19050">
                <a:solidFill>
                  <a:schemeClr val="lt1"/>
                </a:solidFill>
              </a:ln>
              <a:effectLst/>
            </c:spPr>
            <c:extLst>
              <c:ext xmlns:c16="http://schemas.microsoft.com/office/drawing/2014/chart" uri="{C3380CC4-5D6E-409C-BE32-E72D297353CC}">
                <c16:uniqueId val="{00000001-B018-4C5C-90C5-7360F642051F}"/>
              </c:ext>
            </c:extLst>
          </c:dPt>
          <c:dPt>
            <c:idx val="1"/>
            <c:bubble3D val="0"/>
            <c:spPr>
              <a:solidFill>
                <a:srgbClr val="83BDCF"/>
              </a:solidFill>
              <a:ln w="19050">
                <a:solidFill>
                  <a:schemeClr val="lt1"/>
                </a:solidFill>
              </a:ln>
              <a:effectLst/>
            </c:spPr>
            <c:extLst>
              <c:ext xmlns:c16="http://schemas.microsoft.com/office/drawing/2014/chart" uri="{C3380CC4-5D6E-409C-BE32-E72D297353CC}">
                <c16:uniqueId val="{00000003-B018-4C5C-90C5-7360F642051F}"/>
              </c:ext>
            </c:extLst>
          </c:dPt>
          <c:dPt>
            <c:idx val="2"/>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w="19050">
                <a:solidFill>
                  <a:schemeClr val="lt1"/>
                </a:solidFill>
              </a:ln>
              <a:effectLst/>
            </c:spPr>
            <c:extLst>
              <c:ext xmlns:c16="http://schemas.microsoft.com/office/drawing/2014/chart" uri="{C3380CC4-5D6E-409C-BE32-E72D297353CC}">
                <c16:uniqueId val="{00000005-B018-4C5C-90C5-7360F642051F}"/>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job Role'!$A$4:$A$7</c:f>
              <c:strCache>
                <c:ptCount val="3"/>
                <c:pt idx="0">
                  <c:v>HR</c:v>
                </c:pt>
                <c:pt idx="1">
                  <c:v>R&amp;D</c:v>
                </c:pt>
                <c:pt idx="2">
                  <c:v>Sales</c:v>
                </c:pt>
              </c:strCache>
            </c:strRef>
          </c:cat>
          <c:val>
            <c:numRef>
              <c:f>'Dept wise job Role'!$B$4:$B$7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B018-4C5C-90C5-7360F642051F}"/>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50E7-4D23-95CC-02A7F12FEDCB}"/>
            </c:ext>
          </c:extLst>
        </c:ser>
        <c:dLbls>
          <c:dLblPos val="outEnd"/>
          <c:showLegendKey val="0"/>
          <c:showVal val="1"/>
          <c:showCatName val="0"/>
          <c:showSerName val="0"/>
          <c:showPercent val="0"/>
          <c:showBubbleSize val="0"/>
        </c:dLbls>
        <c:gapWidth val="164"/>
        <c:overlap val="-27"/>
        <c:axId val="1215142544"/>
        <c:axId val="1215147344"/>
      </c:barChart>
      <c:catAx>
        <c:axId val="121514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1">
                    <a:lumMod val="75000"/>
                  </a:schemeClr>
                </a:solidFill>
                <a:latin typeface="+mn-lt"/>
                <a:ea typeface="+mn-ea"/>
                <a:cs typeface="+mn-cs"/>
              </a:defRPr>
            </a:pPr>
            <a:endParaRPr lang="en-US"/>
          </a:p>
        </c:txPr>
        <c:crossAx val="1215147344"/>
        <c:crosses val="autoZero"/>
        <c:auto val="1"/>
        <c:lblAlgn val="ctr"/>
        <c:lblOffset val="100"/>
        <c:noMultiLvlLbl val="0"/>
      </c:catAx>
      <c:valAx>
        <c:axId val="1215147344"/>
        <c:scaling>
          <c:orientation val="minMax"/>
        </c:scaling>
        <c:delete val="1"/>
        <c:axPos val="l"/>
        <c:numFmt formatCode="General" sourceLinked="1"/>
        <c:majorTickMark val="none"/>
        <c:minorTickMark val="none"/>
        <c:tickLblPos val="nextTo"/>
        <c:crossAx val="121514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E78DA5D3-8FD4-46B3-995F-5A93C736DE58}">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title pos="t" align="ctr" overlay="0"/>
    <cx:plotArea>
      <cx:plotAreaRegion>
        <cx:series layoutId="funnel" uniqueId="{119F8634-C9C3-4C17-B4DF-3D2CD65F6937}">
          <cx:tx>
            <cx:txData>
              <cx:f>_xlchart.v2.3</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E78DA5D3-8FD4-46B3-995F-5A93C736DE58}">
          <cx:dataPt idx="2">
            <cx:spPr>
              <a:solidFill>
                <a:srgbClr val="00B0F0"/>
              </a:solidFill>
            </cx:spPr>
          </cx:dataPt>
          <cx:dataLabels pos="inEnd">
            <cx:txPr>
              <a:bodyPr spcFirstLastPara="1" vertOverflow="ellipsis" horzOverflow="overflow" wrap="square" lIns="0" tIns="0" rIns="0" bIns="0" anchor="ctr" anchorCtr="1"/>
              <a:lstStyle/>
              <a:p>
                <a:pPr algn="ctr" rtl="0">
                  <a:defRPr sz="1100" b="1"/>
                </a:pPr>
                <a:endParaRPr lang="en-US" sz="1100" b="1" i="0" u="none" strike="noStrike" baseline="0">
                  <a:solidFill>
                    <a:srgbClr val="FFFFFF"/>
                  </a:solidFill>
                  <a:latin typeface="Calibri"/>
                  <a:ea typeface="Calibri"/>
                  <a:cs typeface="Calibri"/>
                </a:endParaRPr>
              </a:p>
            </cx:txPr>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119F8634-C9C3-4C17-B4DF-3D2CD65F6937}">
          <cx:tx>
            <cx:txData>
              <cx:f>_xlchart.v2.8</cx:f>
              <cx:v>Attrition</cx:v>
            </cx:txData>
          </cx:tx>
          <cx:spPr>
            <a:solidFill>
              <a:schemeClr val="accent6">
                <a:lumMod val="75000"/>
              </a:schemeClr>
            </a:solidFill>
            <a:ln>
              <a:solidFill>
                <a:schemeClr val="bg1"/>
              </a:solidFill>
            </a:ln>
          </cx:spPr>
          <cx:dataLabels>
            <cx:txPr>
              <a:bodyPr spcFirstLastPara="1" vertOverflow="ellipsis" horzOverflow="overflow" wrap="square" lIns="0" tIns="0" rIns="0" bIns="0" anchor="ctr" anchorCtr="1"/>
              <a:lstStyle/>
              <a:p>
                <a:pPr algn="ctr" rtl="0">
                  <a:defRPr sz="2000">
                    <a:solidFill>
                      <a:schemeClr val="bg2"/>
                    </a:solidFill>
                  </a:defRPr>
                </a:pPr>
                <a:endParaRPr lang="en-US" sz="2000" b="0" i="0" u="none" strike="noStrike" baseline="0">
                  <a:solidFill>
                    <a:schemeClr val="bg2"/>
                  </a:solidFill>
                  <a:latin typeface="Calibri"/>
                  <a:ea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600" b="1">
                <a:solidFill>
                  <a:schemeClr val="tx2"/>
                </a:solidFill>
              </a:defRPr>
            </a:pPr>
            <a:endParaRPr lang="en-US" sz="1600" b="1" i="0" u="none" strike="noStrike" baseline="0">
              <a:solidFill>
                <a:schemeClr val="tx2"/>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4.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2.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1.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5.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121920</xdr:colOff>
      <xdr:row>1</xdr:row>
      <xdr:rowOff>22860</xdr:rowOff>
    </xdr:from>
    <xdr:to>
      <xdr:col>6</xdr:col>
      <xdr:colOff>106680</xdr:colOff>
      <xdr:row>10</xdr:row>
      <xdr:rowOff>121920</xdr:rowOff>
    </xdr:to>
    <xdr:graphicFrame macro="">
      <xdr:nvGraphicFramePr>
        <xdr:cNvPr id="3" name="Chart 2">
          <a:extLst>
            <a:ext uri="{FF2B5EF4-FFF2-40B4-BE49-F238E27FC236}">
              <a16:creationId xmlns:a16="http://schemas.microsoft.com/office/drawing/2014/main" id="{F459ECE9-CE98-D9C4-BA80-AD4BF4F0B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480060</xdr:colOff>
      <xdr:row>2</xdr:row>
      <xdr:rowOff>76201</xdr:rowOff>
    </xdr:from>
    <xdr:to>
      <xdr:col>9</xdr:col>
      <xdr:colOff>297180</xdr:colOff>
      <xdr:row>7</xdr:row>
      <xdr:rowOff>91441</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6EC0857A-5FDB-5633-74D6-5ECEC23678C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631180" y="472441"/>
              <a:ext cx="182880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834390</xdr:colOff>
      <xdr:row>16</xdr:row>
      <xdr:rowOff>99060</xdr:rowOff>
    </xdr:from>
    <xdr:to>
      <xdr:col>5</xdr:col>
      <xdr:colOff>388620</xdr:colOff>
      <xdr:row>21</xdr:row>
      <xdr:rowOff>60960</xdr:rowOff>
    </xdr:to>
    <xdr:graphicFrame macro="">
      <xdr:nvGraphicFramePr>
        <xdr:cNvPr id="5" name="Chart 4">
          <a:extLst>
            <a:ext uri="{FF2B5EF4-FFF2-40B4-BE49-F238E27FC236}">
              <a16:creationId xmlns:a16="http://schemas.microsoft.com/office/drawing/2014/main" id="{A34DC773-B0CA-4180-B5A7-191CCCBBB8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480060</xdr:colOff>
      <xdr:row>10</xdr:row>
      <xdr:rowOff>76200</xdr:rowOff>
    </xdr:from>
    <xdr:to>
      <xdr:col>10</xdr:col>
      <xdr:colOff>297180</xdr:colOff>
      <xdr:row>23</xdr:row>
      <xdr:rowOff>196215</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E8C7508C-5251-0519-94FA-AA05067AE2E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301740" y="20574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243840</xdr:colOff>
      <xdr:row>1</xdr:row>
      <xdr:rowOff>83820</xdr:rowOff>
    </xdr:from>
    <xdr:to>
      <xdr:col>7</xdr:col>
      <xdr:colOff>60960</xdr:colOff>
      <xdr:row>15</xdr:row>
      <xdr:rowOff>5715</xdr:rowOff>
    </xdr:to>
    <mc:AlternateContent xmlns:mc="http://schemas.openxmlformats.org/markup-compatibility/2006" xmlns:a14="http://schemas.microsoft.com/office/drawing/2010/main">
      <mc:Choice Requires="a14">
        <xdr:graphicFrame macro="">
          <xdr:nvGraphicFramePr>
            <xdr:cNvPr id="2" name="Education Field">
              <a:extLst>
                <a:ext uri="{FF2B5EF4-FFF2-40B4-BE49-F238E27FC236}">
                  <a16:creationId xmlns:a16="http://schemas.microsoft.com/office/drawing/2014/main" id="{7A5C7E14-6EC0-D5E6-E4C0-E93CCD019548}"/>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4152900" y="2819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106680</xdr:colOff>
      <xdr:row>1</xdr:row>
      <xdr:rowOff>60960</xdr:rowOff>
    </xdr:from>
    <xdr:to>
      <xdr:col>9</xdr:col>
      <xdr:colOff>594360</xdr:colOff>
      <xdr:row>14</xdr:row>
      <xdr:rowOff>180975</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51E05D1D-9DA0-A382-C17C-4AFD6DC46517}"/>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027420" y="2590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300990</xdr:colOff>
      <xdr:row>12</xdr:row>
      <xdr:rowOff>194310</xdr:rowOff>
    </xdr:from>
    <xdr:to>
      <xdr:col>3</xdr:col>
      <xdr:colOff>335280</xdr:colOff>
      <xdr:row>23</xdr:row>
      <xdr:rowOff>190500</xdr:rowOff>
    </xdr:to>
    <xdr:graphicFrame macro="">
      <xdr:nvGraphicFramePr>
        <xdr:cNvPr id="4" name="Chart 3">
          <a:extLst>
            <a:ext uri="{FF2B5EF4-FFF2-40B4-BE49-F238E27FC236}">
              <a16:creationId xmlns:a16="http://schemas.microsoft.com/office/drawing/2014/main" id="{5D35239E-E479-4490-7D2C-38A892729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163830</xdr:colOff>
      <xdr:row>8</xdr:row>
      <xdr:rowOff>7620</xdr:rowOff>
    </xdr:from>
    <xdr:to>
      <xdr:col>9</xdr:col>
      <xdr:colOff>41910</xdr:colOff>
      <xdr:row>21</xdr:row>
      <xdr:rowOff>175260</xdr:rowOff>
    </xdr:to>
    <xdr:graphicFrame macro="">
      <xdr:nvGraphicFramePr>
        <xdr:cNvPr id="2" name="Chart 1">
          <a:extLst>
            <a:ext uri="{FF2B5EF4-FFF2-40B4-BE49-F238E27FC236}">
              <a16:creationId xmlns:a16="http://schemas.microsoft.com/office/drawing/2014/main" id="{A7148EF2-9B90-4418-D833-C5455AE4E2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11430</xdr:colOff>
      <xdr:row>8</xdr:row>
      <xdr:rowOff>57150</xdr:rowOff>
    </xdr:from>
    <xdr:to>
      <xdr:col>11</xdr:col>
      <xdr:colOff>560070</xdr:colOff>
      <xdr:row>22</xdr:row>
      <xdr:rowOff>26670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D6D6F80-2CB0-8A05-B68A-66D8104887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40830" y="16421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453390</xdr:colOff>
      <xdr:row>8</xdr:row>
      <xdr:rowOff>7620</xdr:rowOff>
    </xdr:from>
    <xdr:to>
      <xdr:col>9</xdr:col>
      <xdr:colOff>331470</xdr:colOff>
      <xdr:row>21</xdr:row>
      <xdr:rowOff>175260</xdr:rowOff>
    </xdr:to>
    <xdr:graphicFrame macro="">
      <xdr:nvGraphicFramePr>
        <xdr:cNvPr id="2" name="Chart 1">
          <a:extLst>
            <a:ext uri="{FF2B5EF4-FFF2-40B4-BE49-F238E27FC236}">
              <a16:creationId xmlns:a16="http://schemas.microsoft.com/office/drawing/2014/main" id="{4372BC0B-4725-74F5-07E8-14C27949D0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453390</xdr:colOff>
      <xdr:row>8</xdr:row>
      <xdr:rowOff>3810</xdr:rowOff>
    </xdr:from>
    <xdr:to>
      <xdr:col>9</xdr:col>
      <xdr:colOff>331470</xdr:colOff>
      <xdr:row>21</xdr:row>
      <xdr:rowOff>171450</xdr:rowOff>
    </xdr:to>
    <xdr:graphicFrame macro="">
      <xdr:nvGraphicFramePr>
        <xdr:cNvPr id="2" name="Chart 1">
          <a:extLst>
            <a:ext uri="{FF2B5EF4-FFF2-40B4-BE49-F238E27FC236}">
              <a16:creationId xmlns:a16="http://schemas.microsoft.com/office/drawing/2014/main" id="{33A640CC-36AB-53D4-74B2-AEADFE26AB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331470</xdr:colOff>
      <xdr:row>8</xdr:row>
      <xdr:rowOff>3810</xdr:rowOff>
    </xdr:from>
    <xdr:to>
      <xdr:col>12</xdr:col>
      <xdr:colOff>209550</xdr:colOff>
      <xdr:row>21</xdr:row>
      <xdr:rowOff>171450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939AE377-4D59-DBB2-E080-FCE45FAF5C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15887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91440</xdr:colOff>
      <xdr:row>9</xdr:row>
      <xdr:rowOff>91440</xdr:rowOff>
    </xdr:from>
    <xdr:to>
      <xdr:col>4</xdr:col>
      <xdr:colOff>281940</xdr:colOff>
      <xdr:row>23</xdr:row>
      <xdr:rowOff>13335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28446328-0626-3274-4E34-12EBE5B58E2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240280" y="18745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281940</xdr:colOff>
      <xdr:row>8</xdr:row>
      <xdr:rowOff>121920</xdr:rowOff>
    </xdr:from>
    <xdr:to>
      <xdr:col>17</xdr:col>
      <xdr:colOff>99060</xdr:colOff>
      <xdr:row>22</xdr:row>
      <xdr:rowOff>43815</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1D82B327-999B-F8A0-811F-1F17C1911AD0}"/>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0774680" y="17068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129540</xdr:colOff>
      <xdr:row>11</xdr:row>
      <xdr:rowOff>15241</xdr:rowOff>
    </xdr:from>
    <xdr:to>
      <xdr:col>10</xdr:col>
      <xdr:colOff>609600</xdr:colOff>
      <xdr:row>15</xdr:row>
      <xdr:rowOff>167641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1AB5ADED-F922-E661-32E4-1BC0E3154AD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115300" y="2194561"/>
              <a:ext cx="182118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48740"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96390" y="28575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3</xdr:col>
      <xdr:colOff>537882</xdr:colOff>
      <xdr:row>2</xdr:row>
      <xdr:rowOff>22412</xdr:rowOff>
    </xdr:from>
    <xdr:ext cx="14754225" cy="7439025"/>
    <xdr:grpSp>
      <xdr:nvGrpSpPr>
        <xdr:cNvPr id="2" name="Shape 2">
          <a:extLst>
            <a:ext uri="{FF2B5EF4-FFF2-40B4-BE49-F238E27FC236}">
              <a16:creationId xmlns:a16="http://schemas.microsoft.com/office/drawing/2014/main" id="{05B379D6-DFDE-4D39-A604-4D2ED73B3DE5}"/>
            </a:ext>
          </a:extLst>
        </xdr:cNvPr>
        <xdr:cNvGrpSpPr/>
      </xdr:nvGrpSpPr>
      <xdr:grpSpPr>
        <a:xfrm>
          <a:off x="2554941" y="425824"/>
          <a:ext cx="14754225" cy="7439025"/>
          <a:chOff x="0" y="60488"/>
          <a:chExt cx="10692000" cy="7439025"/>
        </a:xfrm>
      </xdr:grpSpPr>
      <xdr:grpSp>
        <xdr:nvGrpSpPr>
          <xdr:cNvPr id="3" name="Shape 29">
            <a:extLst>
              <a:ext uri="{FF2B5EF4-FFF2-40B4-BE49-F238E27FC236}">
                <a16:creationId xmlns:a16="http://schemas.microsoft.com/office/drawing/2014/main" id="{5FBCEFB4-54BA-F680-134B-89AB66C63C9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C5B5C06E-DD8B-2B7B-06D0-F648A568C834}"/>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45FE6BC1-9149-27F8-4974-7108DD9FB4A0}"/>
                </a:ext>
              </a:extLst>
            </xdr:cNvPr>
            <xdr:cNvSpPr/>
          </xdr:nvSpPr>
          <xdr:spPr>
            <a:xfrm>
              <a:off x="1752600" y="190500"/>
              <a:ext cx="13468350" cy="7776000"/>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40F280CD-A7FC-DA6B-9A58-6C0F2D4AC55C}"/>
                </a:ext>
              </a:extLst>
            </xdr:cNvPr>
            <xdr:cNvSpPr/>
          </xdr:nvSpPr>
          <xdr:spPr>
            <a:xfrm>
              <a:off x="1852449" y="270899"/>
              <a:ext cx="769160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B5C105CB-A33C-AFE6-807D-1A9A1EC62BDF}"/>
                </a:ext>
              </a:extLst>
            </xdr:cNvPr>
            <xdr:cNvSpPr/>
          </xdr:nvSpPr>
          <xdr:spPr>
            <a:xfrm>
              <a:off x="9658349" y="270899"/>
              <a:ext cx="546735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4A10C2FF-1DAA-0A1B-0D6C-924017AB8885}"/>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12840641-6C9F-F02E-9B3E-13334417D5A9}"/>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802F4120-2970-8AFD-C103-9833C7921F57}"/>
                  </a:ext>
                </a:extLst>
              </xdr:cNvPr>
              <xdr:cNvSpPr/>
            </xdr:nvSpPr>
            <xdr:spPr>
              <a:xfrm>
                <a:off x="1846116"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15A79AEF-FDF5-9F9A-CC93-7C5959CA5A29}"/>
                  </a:ext>
                </a:extLst>
              </xdr:cNvPr>
              <xdr:cNvSpPr/>
            </xdr:nvSpPr>
            <xdr:spPr>
              <a:xfrm>
                <a:off x="4546454"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D298B72D-FCEF-F6AA-44D4-78C51D3D10CE}"/>
                  </a:ext>
                </a:extLst>
              </xdr:cNvPr>
              <xdr:cNvSpPr/>
            </xdr:nvSpPr>
            <xdr:spPr>
              <a:xfrm>
                <a:off x="7246792"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30493FBE-9B76-9FBD-B352-4FD5D7C1537A}"/>
                  </a:ext>
                </a:extLst>
              </xdr:cNvPr>
              <xdr:cNvSpPr/>
            </xdr:nvSpPr>
            <xdr:spPr>
              <a:xfrm>
                <a:off x="9947130"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CB82254B-7BF1-C7E8-F64B-A0F58B4C0CEB}"/>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20F03401-1B25-5F1E-4DC6-3C260CD6F62E}"/>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D328C7B1-C890-B44F-85B0-EAB83B37B88A}"/>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0C46EBC9-AC76-6931-6F7F-72D3AFF436EC}"/>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6CE4619E-65B1-9F4F-9818-B24DCD96AEE4}"/>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F7543052-0794-6B1F-2349-FD9EA3B3519E}"/>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59A1D423-DB8C-0F7C-4447-D9C3BB47F37B}"/>
                </a:ext>
              </a:extLst>
            </xdr:cNvPr>
            <xdr:cNvCxnSpPr/>
          </xdr:nvCxnSpPr>
          <xdr:spPr>
            <a:xfrm rot="10800000" flipH="1">
              <a:off x="10917205" y="2678637"/>
              <a:ext cx="4068000" cy="5300"/>
            </a:xfrm>
            <a:prstGeom prst="straightConnector1">
              <a:avLst/>
            </a:prstGeom>
            <a:noFill/>
            <a:ln w="12700" cap="flat" cmpd="sng">
              <a:no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893C9019-8E72-AB55-64B7-93E5692CCD5C}"/>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B13D029E-D530-19C4-6B38-F73A4DE4D60E}"/>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E31E43C4-9058-91D3-BB5B-3DC253DDFA9C}"/>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7DD9499C-A680-9E10-319D-86A431AE2998}"/>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97B7A7CF-5EAC-C688-4E6F-DA41D14AFED2}"/>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95624461-A73B-0A46-1A98-B224926845C9}"/>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E9F289F0-6024-680B-0F92-E33E9AD64C6E}"/>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CC809455-FF30-0520-24C1-B8E574B4D553}"/>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twoCellAnchor>
    <xdr:from>
      <xdr:col>3</xdr:col>
      <xdr:colOff>638734</xdr:colOff>
      <xdr:row>6</xdr:row>
      <xdr:rowOff>190500</xdr:rowOff>
    </xdr:from>
    <xdr:to>
      <xdr:col>8</xdr:col>
      <xdr:colOff>190500</xdr:colOff>
      <xdr:row>9</xdr:row>
      <xdr:rowOff>134470</xdr:rowOff>
    </xdr:to>
    <xdr:sp macro="" textlink="">
      <xdr:nvSpPr>
        <xdr:cNvPr id="29" name="TextBox 28">
          <a:extLst>
            <a:ext uri="{FF2B5EF4-FFF2-40B4-BE49-F238E27FC236}">
              <a16:creationId xmlns:a16="http://schemas.microsoft.com/office/drawing/2014/main" id="{EDE35EA9-7D55-87D5-8BF6-FE5F0E7A44B1}"/>
            </a:ext>
          </a:extLst>
        </xdr:cNvPr>
        <xdr:cNvSpPr txBox="1"/>
      </xdr:nvSpPr>
      <xdr:spPr>
        <a:xfrm>
          <a:off x="2655793" y="1400735"/>
          <a:ext cx="2913531" cy="549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FF0000"/>
              </a:solidFill>
              <a:latin typeface="Cooper Black" panose="0208090404030B020404" pitchFamily="18" charset="0"/>
            </a:rPr>
            <a:t>TOTAL</a:t>
          </a:r>
          <a:r>
            <a:rPr lang="en-IN" sz="2000" baseline="0">
              <a:solidFill>
                <a:srgbClr val="FF0000"/>
              </a:solidFill>
              <a:latin typeface="Cooper Black" panose="0208090404030B020404" pitchFamily="18" charset="0"/>
            </a:rPr>
            <a:t> EMPLOYEES </a:t>
          </a:r>
          <a:endParaRPr lang="en-IN" sz="2000">
            <a:solidFill>
              <a:srgbClr val="FF0000"/>
            </a:solidFill>
            <a:latin typeface="Cooper Black" panose="0208090404030B020404" pitchFamily="18" charset="0"/>
          </a:endParaRPr>
        </a:p>
      </xdr:txBody>
    </xdr:sp>
    <xdr:clientData/>
  </xdr:twoCellAnchor>
  <xdr:twoCellAnchor>
    <xdr:from>
      <xdr:col>4</xdr:col>
      <xdr:colOff>425823</xdr:colOff>
      <xdr:row>8</xdr:row>
      <xdr:rowOff>67234</xdr:rowOff>
    </xdr:from>
    <xdr:to>
      <xdr:col>7</xdr:col>
      <xdr:colOff>179293</xdr:colOff>
      <xdr:row>11</xdr:row>
      <xdr:rowOff>11205</xdr:rowOff>
    </xdr:to>
    <xdr:sp macro="" textlink="KPI!B19">
      <xdr:nvSpPr>
        <xdr:cNvPr id="30" name="TextBox 29">
          <a:extLst>
            <a:ext uri="{FF2B5EF4-FFF2-40B4-BE49-F238E27FC236}">
              <a16:creationId xmlns:a16="http://schemas.microsoft.com/office/drawing/2014/main" id="{46AADDCD-4F08-399A-5264-A7DF7998F5FB}"/>
            </a:ext>
          </a:extLst>
        </xdr:cNvPr>
        <xdr:cNvSpPr txBox="1"/>
      </xdr:nvSpPr>
      <xdr:spPr>
        <a:xfrm>
          <a:off x="3115235" y="1680881"/>
          <a:ext cx="1770529" cy="549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017A21-218D-47B5-ACFE-543314B7CF01}" type="TxLink">
            <a:rPr lang="en-US" sz="36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Calibri"/>
              <a:ea typeface="Calibri"/>
              <a:cs typeface="Calibri"/>
            </a:rPr>
            <a:pPr/>
            <a:t>1470</a:t>
          </a:fld>
          <a:endParaRPr lang="en-IN" sz="36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twoCellAnchor>
  <xdr:twoCellAnchor>
    <xdr:from>
      <xdr:col>9</xdr:col>
      <xdr:colOff>627530</xdr:colOff>
      <xdr:row>8</xdr:row>
      <xdr:rowOff>44825</xdr:rowOff>
    </xdr:from>
    <xdr:to>
      <xdr:col>12</xdr:col>
      <xdr:colOff>381000</xdr:colOff>
      <xdr:row>10</xdr:row>
      <xdr:rowOff>190502</xdr:rowOff>
    </xdr:to>
    <xdr:sp macro="" textlink="KPI!D19">
      <xdr:nvSpPr>
        <xdr:cNvPr id="32" name="TextBox 31">
          <a:extLst>
            <a:ext uri="{FF2B5EF4-FFF2-40B4-BE49-F238E27FC236}">
              <a16:creationId xmlns:a16="http://schemas.microsoft.com/office/drawing/2014/main" id="{BA396A0C-F6AA-49E7-8B3F-F1FBC568BE12}"/>
            </a:ext>
          </a:extLst>
        </xdr:cNvPr>
        <xdr:cNvSpPr txBox="1"/>
      </xdr:nvSpPr>
      <xdr:spPr>
        <a:xfrm>
          <a:off x="6678706" y="1658472"/>
          <a:ext cx="1770529" cy="549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428C65-10D9-46F4-BA7A-21A8F8E22914}" type="TxLink">
            <a:rPr lang="en-US" sz="36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Calibri"/>
              <a:ea typeface="Calibri"/>
              <a:cs typeface="Calibri"/>
            </a:rPr>
            <a:pPr/>
            <a:t>237</a:t>
          </a:fld>
          <a:endParaRPr lang="en-IN" sz="36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twoCellAnchor>
  <xdr:twoCellAnchor>
    <xdr:from>
      <xdr:col>8</xdr:col>
      <xdr:colOff>134470</xdr:colOff>
      <xdr:row>6</xdr:row>
      <xdr:rowOff>123266</xdr:rowOff>
    </xdr:from>
    <xdr:to>
      <xdr:col>12</xdr:col>
      <xdr:colOff>336177</xdr:colOff>
      <xdr:row>8</xdr:row>
      <xdr:rowOff>156884</xdr:rowOff>
    </xdr:to>
    <xdr:sp macro="" textlink="">
      <xdr:nvSpPr>
        <xdr:cNvPr id="33" name="TextBox 32">
          <a:extLst>
            <a:ext uri="{FF2B5EF4-FFF2-40B4-BE49-F238E27FC236}">
              <a16:creationId xmlns:a16="http://schemas.microsoft.com/office/drawing/2014/main" id="{03BE1A29-810A-4077-BDD3-85E6B5F0BB54}"/>
            </a:ext>
          </a:extLst>
        </xdr:cNvPr>
        <xdr:cNvSpPr txBox="1"/>
      </xdr:nvSpPr>
      <xdr:spPr>
        <a:xfrm>
          <a:off x="5513294" y="1333501"/>
          <a:ext cx="2891118" cy="437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2800">
            <a:solidFill>
              <a:srgbClr val="FF0000"/>
            </a:solidFill>
            <a:latin typeface="Cooper Black" panose="0208090404030B020404" pitchFamily="18" charset="0"/>
          </a:endParaRPr>
        </a:p>
      </xdr:txBody>
    </xdr:sp>
    <xdr:clientData/>
  </xdr:twoCellAnchor>
  <xdr:twoCellAnchor>
    <xdr:from>
      <xdr:col>13</xdr:col>
      <xdr:colOff>549089</xdr:colOff>
      <xdr:row>8</xdr:row>
      <xdr:rowOff>44824</xdr:rowOff>
    </xdr:from>
    <xdr:to>
      <xdr:col>16</xdr:col>
      <xdr:colOff>134472</xdr:colOff>
      <xdr:row>11</xdr:row>
      <xdr:rowOff>33618</xdr:rowOff>
    </xdr:to>
    <xdr:sp macro="" textlink="KPI!G19">
      <xdr:nvSpPr>
        <xdr:cNvPr id="34" name="TextBox 33">
          <a:extLst>
            <a:ext uri="{FF2B5EF4-FFF2-40B4-BE49-F238E27FC236}">
              <a16:creationId xmlns:a16="http://schemas.microsoft.com/office/drawing/2014/main" id="{40F2C958-8E00-4297-8624-FB153CE905A9}"/>
            </a:ext>
          </a:extLst>
        </xdr:cNvPr>
        <xdr:cNvSpPr txBox="1"/>
      </xdr:nvSpPr>
      <xdr:spPr>
        <a:xfrm>
          <a:off x="9289677" y="1658471"/>
          <a:ext cx="1602442" cy="593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EC870B-A1BF-4B04-AE18-248E73FA7F0D}" type="TxLink">
            <a:rPr lang="en-US" sz="36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Calibri"/>
              <a:ea typeface="Calibri"/>
              <a:cs typeface="Calibri"/>
            </a:rPr>
            <a:pPr/>
            <a:t>1233</a:t>
          </a:fld>
          <a:endParaRPr lang="en-IN" sz="36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twoCellAnchor>
  <xdr:twoCellAnchor>
    <xdr:from>
      <xdr:col>12</xdr:col>
      <xdr:colOff>347383</xdr:colOff>
      <xdr:row>6</xdr:row>
      <xdr:rowOff>162921</xdr:rowOff>
    </xdr:from>
    <xdr:to>
      <xdr:col>17</xdr:col>
      <xdr:colOff>44823</xdr:colOff>
      <xdr:row>10</xdr:row>
      <xdr:rowOff>33617</xdr:rowOff>
    </xdr:to>
    <xdr:sp macro="" textlink="">
      <xdr:nvSpPr>
        <xdr:cNvPr id="35" name="TextBox 34">
          <a:extLst>
            <a:ext uri="{FF2B5EF4-FFF2-40B4-BE49-F238E27FC236}">
              <a16:creationId xmlns:a16="http://schemas.microsoft.com/office/drawing/2014/main" id="{F55F03FB-5308-41BF-8D66-F1501FB9ACB4}"/>
            </a:ext>
          </a:extLst>
        </xdr:cNvPr>
        <xdr:cNvSpPr txBox="1"/>
      </xdr:nvSpPr>
      <xdr:spPr>
        <a:xfrm>
          <a:off x="8415618" y="1373156"/>
          <a:ext cx="3059205" cy="677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rgbClr val="FF0000"/>
              </a:solidFill>
              <a:latin typeface="Cooper Black" panose="0208090404030B020404" pitchFamily="18" charset="0"/>
            </a:rPr>
            <a:t>ACTIVE EMPLOYEES</a:t>
          </a:r>
        </a:p>
      </xdr:txBody>
    </xdr:sp>
    <xdr:clientData/>
  </xdr:twoCellAnchor>
  <xdr:twoCellAnchor>
    <xdr:from>
      <xdr:col>22</xdr:col>
      <xdr:colOff>510988</xdr:colOff>
      <xdr:row>8</xdr:row>
      <xdr:rowOff>40341</xdr:rowOff>
    </xdr:from>
    <xdr:to>
      <xdr:col>25</xdr:col>
      <xdr:colOff>96371</xdr:colOff>
      <xdr:row>11</xdr:row>
      <xdr:rowOff>29135</xdr:rowOff>
    </xdr:to>
    <xdr:sp macro="" textlink="KPI!F19">
      <xdr:nvSpPr>
        <xdr:cNvPr id="36" name="TextBox 35">
          <a:extLst>
            <a:ext uri="{FF2B5EF4-FFF2-40B4-BE49-F238E27FC236}">
              <a16:creationId xmlns:a16="http://schemas.microsoft.com/office/drawing/2014/main" id="{581C8CCE-7E03-4646-AE9B-65FE3DBDDF30}"/>
            </a:ext>
          </a:extLst>
        </xdr:cNvPr>
        <xdr:cNvSpPr txBox="1"/>
      </xdr:nvSpPr>
      <xdr:spPr>
        <a:xfrm>
          <a:off x="15302753" y="1653988"/>
          <a:ext cx="1602442" cy="593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0CACD5-886E-458A-9C54-AFFDFE84A51C}" type="TxLink">
            <a:rPr lang="en-US" sz="36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Calibri"/>
              <a:ea typeface="Calibri"/>
              <a:cs typeface="Calibri"/>
            </a:rPr>
            <a:pPr/>
            <a:t>37</a:t>
          </a:fld>
          <a:endParaRPr lang="en-IN" sz="36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twoCellAnchor>
  <xdr:twoCellAnchor>
    <xdr:from>
      <xdr:col>21</xdr:col>
      <xdr:colOff>107577</xdr:colOff>
      <xdr:row>6</xdr:row>
      <xdr:rowOff>180851</xdr:rowOff>
    </xdr:from>
    <xdr:to>
      <xdr:col>25</xdr:col>
      <xdr:colOff>477370</xdr:colOff>
      <xdr:row>10</xdr:row>
      <xdr:rowOff>51547</xdr:rowOff>
    </xdr:to>
    <xdr:sp macro="" textlink="">
      <xdr:nvSpPr>
        <xdr:cNvPr id="37" name="TextBox 36">
          <a:extLst>
            <a:ext uri="{FF2B5EF4-FFF2-40B4-BE49-F238E27FC236}">
              <a16:creationId xmlns:a16="http://schemas.microsoft.com/office/drawing/2014/main" id="{8374A170-CA01-4552-B01B-C9599AFC4D97}"/>
            </a:ext>
          </a:extLst>
        </xdr:cNvPr>
        <xdr:cNvSpPr txBox="1"/>
      </xdr:nvSpPr>
      <xdr:spPr>
        <a:xfrm>
          <a:off x="14226989" y="1391086"/>
          <a:ext cx="3059205" cy="677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rgbClr val="FF0000"/>
              </a:solidFill>
              <a:latin typeface="Cooper Black" panose="0208090404030B020404" pitchFamily="18" charset="0"/>
            </a:rPr>
            <a:t>AVERAGE</a:t>
          </a:r>
          <a:r>
            <a:rPr lang="en-IN" sz="2000" baseline="0">
              <a:solidFill>
                <a:srgbClr val="FF0000"/>
              </a:solidFill>
              <a:latin typeface="Cooper Black" panose="0208090404030B020404" pitchFamily="18" charset="0"/>
            </a:rPr>
            <a:t> AGE</a:t>
          </a:r>
          <a:endParaRPr lang="en-IN" sz="2000">
            <a:solidFill>
              <a:srgbClr val="FF0000"/>
            </a:solidFill>
            <a:latin typeface="Cooper Black" panose="0208090404030B020404" pitchFamily="18" charset="0"/>
          </a:endParaRPr>
        </a:p>
      </xdr:txBody>
    </xdr:sp>
    <xdr:clientData/>
  </xdr:twoCellAnchor>
  <xdr:twoCellAnchor>
    <xdr:from>
      <xdr:col>18</xdr:col>
      <xdr:colOff>248770</xdr:colOff>
      <xdr:row>8</xdr:row>
      <xdr:rowOff>13447</xdr:rowOff>
    </xdr:from>
    <xdr:to>
      <xdr:col>20</xdr:col>
      <xdr:colOff>506506</xdr:colOff>
      <xdr:row>11</xdr:row>
      <xdr:rowOff>2241</xdr:rowOff>
    </xdr:to>
    <xdr:sp macro="" textlink="KPI!H19">
      <xdr:nvSpPr>
        <xdr:cNvPr id="38" name="TextBox 37">
          <a:extLst>
            <a:ext uri="{FF2B5EF4-FFF2-40B4-BE49-F238E27FC236}">
              <a16:creationId xmlns:a16="http://schemas.microsoft.com/office/drawing/2014/main" id="{276E2E4B-44E4-41AE-8243-3BC55F5F72C4}"/>
            </a:ext>
          </a:extLst>
        </xdr:cNvPr>
        <xdr:cNvSpPr txBox="1"/>
      </xdr:nvSpPr>
      <xdr:spPr>
        <a:xfrm>
          <a:off x="12351123" y="1627094"/>
          <a:ext cx="1602442" cy="593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E2E29B-8D7B-45C6-B213-4A706D248FF2}" type="TxLink">
            <a:rPr lang="en-US" sz="36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Calibri"/>
              <a:ea typeface="Calibri"/>
              <a:cs typeface="Calibri"/>
            </a:rPr>
            <a:pPr/>
            <a:t>16%</a:t>
          </a:fld>
          <a:endParaRPr lang="en-IN" sz="36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twoCellAnchor>
  <xdr:twoCellAnchor>
    <xdr:from>
      <xdr:col>16</xdr:col>
      <xdr:colOff>549089</xdr:colOff>
      <xdr:row>6</xdr:row>
      <xdr:rowOff>165162</xdr:rowOff>
    </xdr:from>
    <xdr:to>
      <xdr:col>21</xdr:col>
      <xdr:colOff>316006</xdr:colOff>
      <xdr:row>10</xdr:row>
      <xdr:rowOff>35858</xdr:rowOff>
    </xdr:to>
    <xdr:sp macro="" textlink="">
      <xdr:nvSpPr>
        <xdr:cNvPr id="39" name="TextBox 38">
          <a:extLst>
            <a:ext uri="{FF2B5EF4-FFF2-40B4-BE49-F238E27FC236}">
              <a16:creationId xmlns:a16="http://schemas.microsoft.com/office/drawing/2014/main" id="{B8161F18-DFB7-4369-AD53-FBF82FA760D6}"/>
            </a:ext>
          </a:extLst>
        </xdr:cNvPr>
        <xdr:cNvSpPr txBox="1"/>
      </xdr:nvSpPr>
      <xdr:spPr>
        <a:xfrm>
          <a:off x="11306736" y="1375397"/>
          <a:ext cx="3128682" cy="677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rgbClr val="FF0000"/>
              </a:solidFill>
              <a:latin typeface="Cooper Black" panose="0208090404030B020404" pitchFamily="18" charset="0"/>
            </a:rPr>
            <a:t>ATTRITION RATE</a:t>
          </a:r>
        </a:p>
      </xdr:txBody>
    </xdr:sp>
    <xdr:clientData/>
  </xdr:twoCellAnchor>
  <xdr:twoCellAnchor>
    <xdr:from>
      <xdr:col>8</xdr:col>
      <xdr:colOff>230839</xdr:colOff>
      <xdr:row>6</xdr:row>
      <xdr:rowOff>174812</xdr:rowOff>
    </xdr:from>
    <xdr:to>
      <xdr:col>12</xdr:col>
      <xdr:colOff>454959</xdr:colOff>
      <xdr:row>9</xdr:row>
      <xdr:rowOff>118782</xdr:rowOff>
    </xdr:to>
    <xdr:sp macro="" textlink="">
      <xdr:nvSpPr>
        <xdr:cNvPr id="40" name="TextBox 39">
          <a:extLst>
            <a:ext uri="{FF2B5EF4-FFF2-40B4-BE49-F238E27FC236}">
              <a16:creationId xmlns:a16="http://schemas.microsoft.com/office/drawing/2014/main" id="{6CC448DD-B882-44E5-A9EB-85F3AA6848EA}"/>
            </a:ext>
          </a:extLst>
        </xdr:cNvPr>
        <xdr:cNvSpPr txBox="1"/>
      </xdr:nvSpPr>
      <xdr:spPr>
        <a:xfrm>
          <a:off x="5609663" y="1385047"/>
          <a:ext cx="2913531" cy="549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rgbClr val="FF0000"/>
              </a:solidFill>
              <a:latin typeface="Cooper Black" panose="0208090404030B020404" pitchFamily="18" charset="0"/>
            </a:rPr>
            <a:t>ATTRITION </a:t>
          </a:r>
        </a:p>
      </xdr:txBody>
    </xdr:sp>
    <xdr:clientData/>
  </xdr:twoCellAnchor>
  <xdr:oneCellAnchor>
    <xdr:from>
      <xdr:col>15</xdr:col>
      <xdr:colOff>515471</xdr:colOff>
      <xdr:row>8</xdr:row>
      <xdr:rowOff>156882</xdr:rowOff>
    </xdr:from>
    <xdr:ext cx="515470" cy="448236"/>
    <xdr:pic>
      <xdr:nvPicPr>
        <xdr:cNvPr id="41" name="image5.png">
          <a:extLst>
            <a:ext uri="{FF2B5EF4-FFF2-40B4-BE49-F238E27FC236}">
              <a16:creationId xmlns:a16="http://schemas.microsoft.com/office/drawing/2014/main" id="{2B027DFA-718C-4AA0-972E-079CA13F8AFC}"/>
            </a:ext>
          </a:extLst>
        </xdr:cNvPr>
        <xdr:cNvPicPr preferRelativeResize="0"/>
      </xdr:nvPicPr>
      <xdr:blipFill>
        <a:blip xmlns:r="http://schemas.openxmlformats.org/officeDocument/2006/relationships" r:embed="rId1" cstate="print"/>
        <a:stretch>
          <a:fillRect/>
        </a:stretch>
      </xdr:blipFill>
      <xdr:spPr>
        <a:xfrm>
          <a:off x="10600765" y="1770529"/>
          <a:ext cx="515470" cy="448236"/>
        </a:xfrm>
        <a:prstGeom prst="rect">
          <a:avLst/>
        </a:prstGeom>
        <a:noFill/>
      </xdr:spPr>
    </xdr:pic>
    <xdr:clientData fLocksWithSheet="0"/>
  </xdr:oneCellAnchor>
  <xdr:oneCellAnchor>
    <xdr:from>
      <xdr:col>23</xdr:col>
      <xdr:colOff>605118</xdr:colOff>
      <xdr:row>8</xdr:row>
      <xdr:rowOff>123265</xdr:rowOff>
    </xdr:from>
    <xdr:ext cx="571499" cy="504264"/>
    <xdr:pic>
      <xdr:nvPicPr>
        <xdr:cNvPr id="42" name="image6.png">
          <a:extLst>
            <a:ext uri="{FF2B5EF4-FFF2-40B4-BE49-F238E27FC236}">
              <a16:creationId xmlns:a16="http://schemas.microsoft.com/office/drawing/2014/main" id="{838397D5-6CCD-466D-A90C-BBAAF6483B5E}"/>
            </a:ext>
          </a:extLst>
        </xdr:cNvPr>
        <xdr:cNvPicPr preferRelativeResize="0"/>
      </xdr:nvPicPr>
      <xdr:blipFill>
        <a:blip xmlns:r="http://schemas.openxmlformats.org/officeDocument/2006/relationships" r:embed="rId2" cstate="print"/>
        <a:stretch>
          <a:fillRect/>
        </a:stretch>
      </xdr:blipFill>
      <xdr:spPr>
        <a:xfrm>
          <a:off x="16069236" y="1736912"/>
          <a:ext cx="571499" cy="504264"/>
        </a:xfrm>
        <a:prstGeom prst="rect">
          <a:avLst/>
        </a:prstGeom>
        <a:noFill/>
      </xdr:spPr>
    </xdr:pic>
    <xdr:clientData fLocksWithSheet="0"/>
  </xdr:oneCellAnchor>
  <xdr:oneCellAnchor>
    <xdr:from>
      <xdr:col>20</xdr:col>
      <xdr:colOff>33618</xdr:colOff>
      <xdr:row>8</xdr:row>
      <xdr:rowOff>168088</xdr:rowOff>
    </xdr:from>
    <xdr:ext cx="560294" cy="448235"/>
    <xdr:pic>
      <xdr:nvPicPr>
        <xdr:cNvPr id="43" name="image2.png">
          <a:extLst>
            <a:ext uri="{FF2B5EF4-FFF2-40B4-BE49-F238E27FC236}">
              <a16:creationId xmlns:a16="http://schemas.microsoft.com/office/drawing/2014/main" id="{4A909CAA-8775-4A9A-BFEE-B8B51B6771B9}"/>
            </a:ext>
          </a:extLst>
        </xdr:cNvPr>
        <xdr:cNvPicPr preferRelativeResize="0"/>
      </xdr:nvPicPr>
      <xdr:blipFill>
        <a:blip xmlns:r="http://schemas.openxmlformats.org/officeDocument/2006/relationships" r:embed="rId3" cstate="print"/>
        <a:stretch>
          <a:fillRect/>
        </a:stretch>
      </xdr:blipFill>
      <xdr:spPr>
        <a:xfrm>
          <a:off x="13480677" y="1781735"/>
          <a:ext cx="560294" cy="448235"/>
        </a:xfrm>
        <a:prstGeom prst="rect">
          <a:avLst/>
        </a:prstGeom>
        <a:noFill/>
      </xdr:spPr>
    </xdr:pic>
    <xdr:clientData fLocksWithSheet="0"/>
  </xdr:oneCellAnchor>
  <xdr:oneCellAnchor>
    <xdr:from>
      <xdr:col>11</xdr:col>
      <xdr:colOff>123266</xdr:colOff>
      <xdr:row>8</xdr:row>
      <xdr:rowOff>44824</xdr:rowOff>
    </xdr:from>
    <xdr:ext cx="762000" cy="638735"/>
    <xdr:pic>
      <xdr:nvPicPr>
        <xdr:cNvPr id="44" name="image7.png">
          <a:extLst>
            <a:ext uri="{FF2B5EF4-FFF2-40B4-BE49-F238E27FC236}">
              <a16:creationId xmlns:a16="http://schemas.microsoft.com/office/drawing/2014/main" id="{A1E833F9-9B27-4702-B8A4-42F5841C0D4C}"/>
            </a:ext>
          </a:extLst>
        </xdr:cNvPr>
        <xdr:cNvPicPr preferRelativeResize="0"/>
      </xdr:nvPicPr>
      <xdr:blipFill>
        <a:blip xmlns:r="http://schemas.openxmlformats.org/officeDocument/2006/relationships" r:embed="rId4" cstate="print"/>
        <a:stretch>
          <a:fillRect/>
        </a:stretch>
      </xdr:blipFill>
      <xdr:spPr>
        <a:xfrm>
          <a:off x="7519148" y="1658471"/>
          <a:ext cx="762000" cy="638735"/>
        </a:xfrm>
        <a:prstGeom prst="rect">
          <a:avLst/>
        </a:prstGeom>
        <a:noFill/>
      </xdr:spPr>
    </xdr:pic>
    <xdr:clientData fLocksWithSheet="0"/>
  </xdr:oneCellAnchor>
  <xdr:oneCellAnchor>
    <xdr:from>
      <xdr:col>6</xdr:col>
      <xdr:colOff>459441</xdr:colOff>
      <xdr:row>8</xdr:row>
      <xdr:rowOff>134469</xdr:rowOff>
    </xdr:from>
    <xdr:ext cx="627529" cy="526678"/>
    <xdr:pic>
      <xdr:nvPicPr>
        <xdr:cNvPr id="45" name="image4.png">
          <a:extLst>
            <a:ext uri="{FF2B5EF4-FFF2-40B4-BE49-F238E27FC236}">
              <a16:creationId xmlns:a16="http://schemas.microsoft.com/office/drawing/2014/main" id="{5C067DC3-6B79-4AE2-8ED9-07E0C8444C5C}"/>
            </a:ext>
          </a:extLst>
        </xdr:cNvPr>
        <xdr:cNvPicPr preferRelativeResize="0"/>
      </xdr:nvPicPr>
      <xdr:blipFill>
        <a:blip xmlns:r="http://schemas.openxmlformats.org/officeDocument/2006/relationships" r:embed="rId5" cstate="print"/>
        <a:stretch>
          <a:fillRect/>
        </a:stretch>
      </xdr:blipFill>
      <xdr:spPr>
        <a:xfrm>
          <a:off x="4493559" y="1748116"/>
          <a:ext cx="627529" cy="526678"/>
        </a:xfrm>
        <a:prstGeom prst="rect">
          <a:avLst/>
        </a:prstGeom>
        <a:noFill/>
      </xdr:spPr>
    </xdr:pic>
    <xdr:clientData fLocksWithSheet="0"/>
  </xdr:oneCellAnchor>
  <xdr:twoCellAnchor>
    <xdr:from>
      <xdr:col>6</xdr:col>
      <xdr:colOff>56029</xdr:colOff>
      <xdr:row>2</xdr:row>
      <xdr:rowOff>112058</xdr:rowOff>
    </xdr:from>
    <xdr:to>
      <xdr:col>16</xdr:col>
      <xdr:colOff>112059</xdr:colOff>
      <xdr:row>6</xdr:row>
      <xdr:rowOff>56030</xdr:rowOff>
    </xdr:to>
    <xdr:sp macro="" textlink="">
      <xdr:nvSpPr>
        <xdr:cNvPr id="46" name="TextBox 45">
          <a:extLst>
            <a:ext uri="{FF2B5EF4-FFF2-40B4-BE49-F238E27FC236}">
              <a16:creationId xmlns:a16="http://schemas.microsoft.com/office/drawing/2014/main" id="{C99F2258-D3C3-4F04-B464-D854DC392CDE}"/>
            </a:ext>
          </a:extLst>
        </xdr:cNvPr>
        <xdr:cNvSpPr txBox="1"/>
      </xdr:nvSpPr>
      <xdr:spPr>
        <a:xfrm>
          <a:off x="4090147" y="515470"/>
          <a:ext cx="6779559" cy="750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b="1" cap="none" spc="0">
              <a:ln w="13462">
                <a:solidFill>
                  <a:schemeClr val="bg1"/>
                </a:solidFill>
                <a:prstDash val="solid"/>
              </a:ln>
              <a:solidFill>
                <a:srgbClr val="002060"/>
              </a:solidFill>
              <a:effectLst>
                <a:outerShdw dist="38100" dir="2700000" algn="bl" rotWithShape="0">
                  <a:schemeClr val="accent5"/>
                </a:outerShdw>
              </a:effectLst>
            </a:rPr>
            <a:t>HR ANALYTICS</a:t>
          </a:r>
          <a:r>
            <a:rPr lang="en-IN" sz="4400" b="1" cap="none" spc="0" baseline="0">
              <a:ln w="13462">
                <a:solidFill>
                  <a:schemeClr val="bg1"/>
                </a:solidFill>
                <a:prstDash val="solid"/>
              </a:ln>
              <a:solidFill>
                <a:srgbClr val="002060"/>
              </a:solidFill>
              <a:effectLst>
                <a:outerShdw dist="38100" dir="2700000" algn="bl" rotWithShape="0">
                  <a:schemeClr val="accent5"/>
                </a:outerShdw>
              </a:effectLst>
            </a:rPr>
            <a:t> DASHBOARD</a:t>
          </a:r>
          <a:endParaRPr lang="en-IN" sz="4400" b="1" cap="none" spc="0">
            <a:ln w="13462">
              <a:solidFill>
                <a:schemeClr val="bg1"/>
              </a:solidFill>
              <a:prstDash val="solid"/>
            </a:ln>
            <a:solidFill>
              <a:srgbClr val="002060"/>
            </a:solidFill>
            <a:effectLst>
              <a:outerShdw dist="38100" dir="2700000" algn="bl" rotWithShape="0">
                <a:schemeClr val="accent5"/>
              </a:outerShdw>
            </a:effectLst>
          </a:endParaRPr>
        </a:p>
      </xdr:txBody>
    </xdr:sp>
    <xdr:clientData/>
  </xdr:twoCellAnchor>
  <xdr:oneCellAnchor>
    <xdr:from>
      <xdr:col>4</xdr:col>
      <xdr:colOff>89647</xdr:colOff>
      <xdr:row>2</xdr:row>
      <xdr:rowOff>179294</xdr:rowOff>
    </xdr:from>
    <xdr:ext cx="1131794" cy="661147"/>
    <xdr:pic>
      <xdr:nvPicPr>
        <xdr:cNvPr id="47" name="image1.png">
          <a:extLst>
            <a:ext uri="{FF2B5EF4-FFF2-40B4-BE49-F238E27FC236}">
              <a16:creationId xmlns:a16="http://schemas.microsoft.com/office/drawing/2014/main" id="{2E63D112-FA01-4ED4-9C83-6E243BA55BCD}"/>
            </a:ext>
          </a:extLst>
        </xdr:cNvPr>
        <xdr:cNvPicPr preferRelativeResize="0"/>
      </xdr:nvPicPr>
      <xdr:blipFill>
        <a:blip xmlns:r="http://schemas.openxmlformats.org/officeDocument/2006/relationships" r:embed="rId6" cstate="print"/>
        <a:stretch>
          <a:fillRect/>
        </a:stretch>
      </xdr:blipFill>
      <xdr:spPr>
        <a:xfrm>
          <a:off x="2779059" y="582706"/>
          <a:ext cx="1131794" cy="661147"/>
        </a:xfrm>
        <a:prstGeom prst="rect">
          <a:avLst/>
        </a:prstGeom>
        <a:noFill/>
      </xdr:spPr>
    </xdr:pic>
    <xdr:clientData fLocksWithSheet="0"/>
  </xdr:oneCellAnchor>
  <xdr:oneCellAnchor>
    <xdr:from>
      <xdr:col>16</xdr:col>
      <xdr:colOff>582706</xdr:colOff>
      <xdr:row>2</xdr:row>
      <xdr:rowOff>179294</xdr:rowOff>
    </xdr:from>
    <xdr:ext cx="723900" cy="628650"/>
    <xdr:pic>
      <xdr:nvPicPr>
        <xdr:cNvPr id="48" name="image3.png">
          <a:extLst>
            <a:ext uri="{FF2B5EF4-FFF2-40B4-BE49-F238E27FC236}">
              <a16:creationId xmlns:a16="http://schemas.microsoft.com/office/drawing/2014/main" id="{C23C2C5F-6572-4E91-9CA8-C8FFA20C5325}"/>
            </a:ext>
          </a:extLst>
        </xdr:cNvPr>
        <xdr:cNvPicPr preferRelativeResize="0"/>
      </xdr:nvPicPr>
      <xdr:blipFill>
        <a:blip xmlns:r="http://schemas.openxmlformats.org/officeDocument/2006/relationships" r:embed="rId7" cstate="print"/>
        <a:stretch>
          <a:fillRect/>
        </a:stretch>
      </xdr:blipFill>
      <xdr:spPr>
        <a:xfrm>
          <a:off x="11340353" y="582706"/>
          <a:ext cx="723900" cy="628650"/>
        </a:xfrm>
        <a:prstGeom prst="rect">
          <a:avLst/>
        </a:prstGeom>
        <a:noFill/>
      </xdr:spPr>
    </xdr:pic>
    <xdr:clientData fLocksWithSheet="0"/>
  </xdr:oneCellAnchor>
  <xdr:twoCellAnchor>
    <xdr:from>
      <xdr:col>18</xdr:col>
      <xdr:colOff>56029</xdr:colOff>
      <xdr:row>2</xdr:row>
      <xdr:rowOff>145676</xdr:rowOff>
    </xdr:from>
    <xdr:to>
      <xdr:col>20</xdr:col>
      <xdr:colOff>425823</xdr:colOff>
      <xdr:row>6</xdr:row>
      <xdr:rowOff>44824</xdr:rowOff>
    </xdr:to>
    <xdr:sp macro="" textlink="">
      <xdr:nvSpPr>
        <xdr:cNvPr id="49" name="TextBox 48">
          <a:extLst>
            <a:ext uri="{FF2B5EF4-FFF2-40B4-BE49-F238E27FC236}">
              <a16:creationId xmlns:a16="http://schemas.microsoft.com/office/drawing/2014/main" id="{DADCE43B-82C0-716A-6558-0CAFF71567DA}"/>
            </a:ext>
          </a:extLst>
        </xdr:cNvPr>
        <xdr:cNvSpPr txBox="1"/>
      </xdr:nvSpPr>
      <xdr:spPr>
        <a:xfrm>
          <a:off x="12158382" y="549088"/>
          <a:ext cx="1714500" cy="705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Cooper Black" panose="0208090404030B020404" pitchFamily="18" charset="0"/>
            </a:rPr>
            <a:t>JOB </a:t>
          </a:r>
        </a:p>
        <a:p>
          <a:r>
            <a:rPr lang="en-IN" sz="1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Cooper Black" panose="0208090404030B020404" pitchFamily="18" charset="0"/>
            </a:rPr>
            <a:t>SATISFACTION</a:t>
          </a:r>
        </a:p>
        <a:p>
          <a:r>
            <a:rPr lang="en-IN" sz="1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Cooper Black" panose="0208090404030B020404" pitchFamily="18" charset="0"/>
            </a:rPr>
            <a:t>RATING</a:t>
          </a:r>
        </a:p>
      </xdr:txBody>
    </xdr:sp>
    <xdr:clientData/>
  </xdr:twoCellAnchor>
  <xdr:twoCellAnchor>
    <xdr:from>
      <xdr:col>20</xdr:col>
      <xdr:colOff>358588</xdr:colOff>
      <xdr:row>2</xdr:row>
      <xdr:rowOff>145677</xdr:rowOff>
    </xdr:from>
    <xdr:to>
      <xdr:col>21</xdr:col>
      <xdr:colOff>582707</xdr:colOff>
      <xdr:row>6</xdr:row>
      <xdr:rowOff>56030</xdr:rowOff>
    </xdr:to>
    <xdr:graphicFrame macro="">
      <xdr:nvGraphicFramePr>
        <xdr:cNvPr id="51" name="Chart 50">
          <a:extLst>
            <a:ext uri="{FF2B5EF4-FFF2-40B4-BE49-F238E27FC236}">
              <a16:creationId xmlns:a16="http://schemas.microsoft.com/office/drawing/2014/main" id="{95AB6366-6DF4-4C46-9C46-5C52BA7AC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67234</xdr:colOff>
      <xdr:row>3</xdr:row>
      <xdr:rowOff>44823</xdr:rowOff>
    </xdr:from>
    <xdr:to>
      <xdr:col>25</xdr:col>
      <xdr:colOff>291352</xdr:colOff>
      <xdr:row>5</xdr:row>
      <xdr:rowOff>156883</xdr:rowOff>
    </xdr:to>
    <xdr:grpSp>
      <xdr:nvGrpSpPr>
        <xdr:cNvPr id="52" name="Group 51">
          <a:extLst>
            <a:ext uri="{FF2B5EF4-FFF2-40B4-BE49-F238E27FC236}">
              <a16:creationId xmlns:a16="http://schemas.microsoft.com/office/drawing/2014/main" id="{64D788B1-9E0A-82C1-AE83-906C0F6B87AC}"/>
            </a:ext>
          </a:extLst>
        </xdr:cNvPr>
        <xdr:cNvGrpSpPr/>
      </xdr:nvGrpSpPr>
      <xdr:grpSpPr>
        <a:xfrm>
          <a:off x="14858999" y="649941"/>
          <a:ext cx="2241177" cy="515471"/>
          <a:chOff x="2260600" y="1401763"/>
          <a:chExt cx="3640667" cy="914400"/>
        </a:xfrm>
      </xdr:grpSpPr>
      <xdr:sp macro="" textlink="">
        <xdr:nvSpPr>
          <xdr:cNvPr id="53" name="Star: 5 Points 52">
            <a:extLst>
              <a:ext uri="{FF2B5EF4-FFF2-40B4-BE49-F238E27FC236}">
                <a16:creationId xmlns:a16="http://schemas.microsoft.com/office/drawing/2014/main" id="{7D681FFA-652C-BC29-3628-C37662EFFD25}"/>
              </a:ext>
            </a:extLst>
          </xdr:cNvPr>
          <xdr:cNvSpPr/>
        </xdr:nvSpPr>
        <xdr:spPr>
          <a:xfrm>
            <a:off x="2260600" y="1401763"/>
            <a:ext cx="914400" cy="9144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4" name="Star: 5 Points 53">
            <a:extLst>
              <a:ext uri="{FF2B5EF4-FFF2-40B4-BE49-F238E27FC236}">
                <a16:creationId xmlns:a16="http://schemas.microsoft.com/office/drawing/2014/main" id="{1C6905CE-2D86-D19D-F97E-0079E6E6015C}"/>
              </a:ext>
            </a:extLst>
          </xdr:cNvPr>
          <xdr:cNvSpPr/>
        </xdr:nvSpPr>
        <xdr:spPr>
          <a:xfrm>
            <a:off x="3175000" y="1401763"/>
            <a:ext cx="914400" cy="9144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5" name="Star: 5 Points 54">
            <a:extLst>
              <a:ext uri="{FF2B5EF4-FFF2-40B4-BE49-F238E27FC236}">
                <a16:creationId xmlns:a16="http://schemas.microsoft.com/office/drawing/2014/main" id="{3B32C00F-E1E2-BB8D-A562-4E1DDC74E976}"/>
              </a:ext>
            </a:extLst>
          </xdr:cNvPr>
          <xdr:cNvSpPr/>
        </xdr:nvSpPr>
        <xdr:spPr>
          <a:xfrm>
            <a:off x="4072467" y="1401763"/>
            <a:ext cx="914400" cy="9144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6" name="Star: 5 Points 55">
            <a:extLst>
              <a:ext uri="{FF2B5EF4-FFF2-40B4-BE49-F238E27FC236}">
                <a16:creationId xmlns:a16="http://schemas.microsoft.com/office/drawing/2014/main" id="{A5E59B13-2B70-4BCD-A244-8DF69D48D2E9}"/>
              </a:ext>
            </a:extLst>
          </xdr:cNvPr>
          <xdr:cNvSpPr/>
        </xdr:nvSpPr>
        <xdr:spPr>
          <a:xfrm>
            <a:off x="4986867" y="1401763"/>
            <a:ext cx="914400" cy="91440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clientData/>
  </xdr:twoCellAnchor>
  <xdr:twoCellAnchor>
    <xdr:from>
      <xdr:col>21</xdr:col>
      <xdr:colOff>571500</xdr:colOff>
      <xdr:row>2</xdr:row>
      <xdr:rowOff>123264</xdr:rowOff>
    </xdr:from>
    <xdr:to>
      <xdr:col>25</xdr:col>
      <xdr:colOff>358588</xdr:colOff>
      <xdr:row>6</xdr:row>
      <xdr:rowOff>67236</xdr:rowOff>
    </xdr:to>
    <xdr:graphicFrame macro="">
      <xdr:nvGraphicFramePr>
        <xdr:cNvPr id="57" name="Chart 56">
          <a:extLst>
            <a:ext uri="{FF2B5EF4-FFF2-40B4-BE49-F238E27FC236}">
              <a16:creationId xmlns:a16="http://schemas.microsoft.com/office/drawing/2014/main" id="{E4BA2FF1-5620-4FA2-B08E-7AD3B78E5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11205</xdr:colOff>
      <xdr:row>18</xdr:row>
      <xdr:rowOff>0</xdr:rowOff>
    </xdr:from>
    <xdr:to>
      <xdr:col>6</xdr:col>
      <xdr:colOff>179295</xdr:colOff>
      <xdr:row>25</xdr:row>
      <xdr:rowOff>29585</xdr:rowOff>
    </xdr:to>
    <xdr:graphicFrame macro="">
      <xdr:nvGraphicFramePr>
        <xdr:cNvPr id="31" name="Chart 30">
          <a:extLst>
            <a:ext uri="{FF2B5EF4-FFF2-40B4-BE49-F238E27FC236}">
              <a16:creationId xmlns:a16="http://schemas.microsoft.com/office/drawing/2014/main" id="{A3BDD594-6685-4A20-BFF4-F90DB6410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448235</xdr:colOff>
      <xdr:row>17</xdr:row>
      <xdr:rowOff>179294</xdr:rowOff>
    </xdr:from>
    <xdr:to>
      <xdr:col>10</xdr:col>
      <xdr:colOff>134472</xdr:colOff>
      <xdr:row>25</xdr:row>
      <xdr:rowOff>18378</xdr:rowOff>
    </xdr:to>
    <xdr:graphicFrame macro="">
      <xdr:nvGraphicFramePr>
        <xdr:cNvPr id="50" name="Chart 49">
          <a:extLst>
            <a:ext uri="{FF2B5EF4-FFF2-40B4-BE49-F238E27FC236}">
              <a16:creationId xmlns:a16="http://schemas.microsoft.com/office/drawing/2014/main" id="{3BA79A24-DBF2-4CB1-AEA0-A5A79ABAA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7</xdr:col>
      <xdr:colOff>11204</xdr:colOff>
      <xdr:row>19</xdr:row>
      <xdr:rowOff>134469</xdr:rowOff>
    </xdr:from>
    <xdr:to>
      <xdr:col>8</xdr:col>
      <xdr:colOff>253251</xdr:colOff>
      <xdr:row>24</xdr:row>
      <xdr:rowOff>40340</xdr:rowOff>
    </xdr:to>
    <xdr:pic>
      <xdr:nvPicPr>
        <xdr:cNvPr id="63" name="Graphic 62" descr="Male profile with solid fill">
          <a:extLst>
            <a:ext uri="{FF2B5EF4-FFF2-40B4-BE49-F238E27FC236}">
              <a16:creationId xmlns:a16="http://schemas.microsoft.com/office/drawing/2014/main" id="{D8D113C0-306C-5CB5-DAF8-B417B9B272B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717675" y="3966881"/>
          <a:ext cx="914400" cy="914400"/>
        </a:xfrm>
        <a:prstGeom prst="rect">
          <a:avLst/>
        </a:prstGeom>
      </xdr:spPr>
    </xdr:pic>
    <xdr:clientData/>
  </xdr:twoCellAnchor>
  <xdr:twoCellAnchor editAs="oneCell">
    <xdr:from>
      <xdr:col>5</xdr:col>
      <xdr:colOff>549089</xdr:colOff>
      <xdr:row>19</xdr:row>
      <xdr:rowOff>134469</xdr:rowOff>
    </xdr:from>
    <xdr:to>
      <xdr:col>7</xdr:col>
      <xdr:colOff>118783</xdr:colOff>
      <xdr:row>24</xdr:row>
      <xdr:rowOff>40340</xdr:rowOff>
    </xdr:to>
    <xdr:pic>
      <xdr:nvPicPr>
        <xdr:cNvPr id="65" name="Graphic 64" descr="Female Profile with solid fill">
          <a:extLst>
            <a:ext uri="{FF2B5EF4-FFF2-40B4-BE49-F238E27FC236}">
              <a16:creationId xmlns:a16="http://schemas.microsoft.com/office/drawing/2014/main" id="{7AA3541B-3492-F18E-FD78-15D61FDCBAF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910854" y="3966881"/>
          <a:ext cx="914400" cy="914400"/>
        </a:xfrm>
        <a:prstGeom prst="rect">
          <a:avLst/>
        </a:prstGeom>
      </xdr:spPr>
    </xdr:pic>
    <xdr:clientData/>
  </xdr:twoCellAnchor>
  <xdr:twoCellAnchor>
    <xdr:from>
      <xdr:col>4</xdr:col>
      <xdr:colOff>381000</xdr:colOff>
      <xdr:row>20</xdr:row>
      <xdr:rowOff>89647</xdr:rowOff>
    </xdr:from>
    <xdr:to>
      <xdr:col>5</xdr:col>
      <xdr:colOff>358588</xdr:colOff>
      <xdr:row>22</xdr:row>
      <xdr:rowOff>156883</xdr:rowOff>
    </xdr:to>
    <xdr:sp macro="" textlink="Sheet1!$B$9">
      <xdr:nvSpPr>
        <xdr:cNvPr id="67" name="TextBox 1">
          <a:extLst>
            <a:ext uri="{FF2B5EF4-FFF2-40B4-BE49-F238E27FC236}">
              <a16:creationId xmlns:a16="http://schemas.microsoft.com/office/drawing/2014/main" id="{4C1767AE-DED3-81E6-8E6C-49D038815E37}"/>
            </a:ext>
          </a:extLst>
        </xdr:cNvPr>
        <xdr:cNvSpPr txBox="1"/>
      </xdr:nvSpPr>
      <xdr:spPr>
        <a:xfrm>
          <a:off x="3070412" y="4123765"/>
          <a:ext cx="649941" cy="470647"/>
        </a:xfrm>
        <a:prstGeom prst="rect">
          <a:avLst/>
        </a:prstGeom>
      </xdr:spPr>
      <xdr:txBody>
        <a:bodyPr wrap="square" rtlCol="0" anchor="ctr">
          <a:scene3d>
            <a:camera prst="obliqueTopRight"/>
            <a:lightRig rig="threePt" dir="t"/>
          </a:scene3d>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4AC9DBAF-CAE6-454B-87E3-849660B1D6D5}" type="TxLink">
            <a:rPr lang="en-US" sz="2400" b="1" i="0" u="none" strike="noStrike" kern="1200" cap="none" spc="0">
              <a:ln w="0"/>
              <a:solidFill>
                <a:srgbClr val="BC32BC"/>
              </a:solidFill>
              <a:effectLst>
                <a:outerShdw blurRad="38100" dist="25400" dir="5400000" algn="ctr" rotWithShape="0">
                  <a:srgbClr val="6E747A">
                    <a:alpha val="43000"/>
                  </a:srgbClr>
                </a:outerShdw>
              </a:effectLst>
              <a:latin typeface="Calibri"/>
              <a:ea typeface="Calibri"/>
              <a:cs typeface="Calibri"/>
            </a:rPr>
            <a:pPr algn="ctr"/>
            <a:t>588</a:t>
          </a:fld>
          <a:endParaRPr lang="en-IN" sz="2400" b="1" kern="1200" cap="none" spc="0">
            <a:ln w="0"/>
            <a:solidFill>
              <a:srgbClr val="BC32BC"/>
            </a:solidFill>
            <a:effectLst>
              <a:outerShdw blurRad="38100" dist="25400" dir="5400000" algn="ctr" rotWithShape="0">
                <a:srgbClr val="6E747A">
                  <a:alpha val="43000"/>
                </a:srgbClr>
              </a:outerShdw>
            </a:effectLst>
          </a:endParaRPr>
        </a:p>
      </xdr:txBody>
    </xdr:sp>
    <xdr:clientData/>
  </xdr:twoCellAnchor>
  <xdr:twoCellAnchor>
    <xdr:from>
      <xdr:col>8</xdr:col>
      <xdr:colOff>459441</xdr:colOff>
      <xdr:row>20</xdr:row>
      <xdr:rowOff>100853</xdr:rowOff>
    </xdr:from>
    <xdr:to>
      <xdr:col>9</xdr:col>
      <xdr:colOff>437030</xdr:colOff>
      <xdr:row>23</xdr:row>
      <xdr:rowOff>22411</xdr:rowOff>
    </xdr:to>
    <xdr:sp macro="" textlink="Sheet1!$B$10">
      <xdr:nvSpPr>
        <xdr:cNvPr id="68" name="TextBox 1">
          <a:extLst>
            <a:ext uri="{FF2B5EF4-FFF2-40B4-BE49-F238E27FC236}">
              <a16:creationId xmlns:a16="http://schemas.microsoft.com/office/drawing/2014/main" id="{FA964193-28D0-489C-886C-796C541ADEF0}"/>
            </a:ext>
          </a:extLst>
        </xdr:cNvPr>
        <xdr:cNvSpPr txBox="1"/>
      </xdr:nvSpPr>
      <xdr:spPr>
        <a:xfrm>
          <a:off x="5838265" y="4134971"/>
          <a:ext cx="649941" cy="526675"/>
        </a:xfrm>
        <a:prstGeom prst="rect">
          <a:avLst/>
        </a:prstGeom>
      </xdr:spPr>
      <xdr:txBody>
        <a:bodyPr wrap="square" rtlCol="0" anchor="ctr">
          <a:scene3d>
            <a:camera prst="obliqueTopRight"/>
            <a:lightRig rig="threePt" dir="t"/>
          </a:scene3d>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5A1B4DD3-0059-4317-B5B5-71C6B4A2EE1C}" type="TxLink">
            <a:rPr lang="en-US" sz="2400" b="1" i="0" u="none" strike="noStrike" kern="1200" cap="none" spc="0">
              <a:ln w="0"/>
              <a:solidFill>
                <a:srgbClr val="002060"/>
              </a:solidFill>
              <a:effectLst>
                <a:outerShdw blurRad="38100" dist="25400" dir="5400000" algn="ctr" rotWithShape="0">
                  <a:srgbClr val="6E747A">
                    <a:alpha val="43000"/>
                  </a:srgbClr>
                </a:outerShdw>
              </a:effectLst>
              <a:latin typeface="Calibri"/>
              <a:ea typeface="Calibri"/>
              <a:cs typeface="Calibri"/>
            </a:rPr>
            <a:pPr algn="ctr"/>
            <a:t>882</a:t>
          </a:fld>
          <a:endParaRPr lang="en-IN" sz="2400" b="1" kern="1200" cap="none" spc="0">
            <a:ln w="0"/>
            <a:solidFill>
              <a:srgbClr val="002060"/>
            </a:solidFill>
            <a:effectLst>
              <a:outerShdw blurRad="38100" dist="25400" dir="5400000" algn="ctr" rotWithShape="0">
                <a:srgbClr val="6E747A">
                  <a:alpha val="43000"/>
                </a:srgbClr>
              </a:outerShdw>
            </a:effectLst>
            <a:latin typeface="+mj-lt"/>
          </a:endParaRPr>
        </a:p>
      </xdr:txBody>
    </xdr:sp>
    <xdr:clientData/>
  </xdr:twoCellAnchor>
  <xdr:twoCellAnchor>
    <xdr:from>
      <xdr:col>4</xdr:col>
      <xdr:colOff>145676</xdr:colOff>
      <xdr:row>12</xdr:row>
      <xdr:rowOff>44824</xdr:rowOff>
    </xdr:from>
    <xdr:to>
      <xdr:col>10</xdr:col>
      <xdr:colOff>145677</xdr:colOff>
      <xdr:row>14</xdr:row>
      <xdr:rowOff>78443</xdr:rowOff>
    </xdr:to>
    <xdr:sp macro="" textlink="">
      <xdr:nvSpPr>
        <xdr:cNvPr id="71" name="TextBox 70">
          <a:extLst>
            <a:ext uri="{FF2B5EF4-FFF2-40B4-BE49-F238E27FC236}">
              <a16:creationId xmlns:a16="http://schemas.microsoft.com/office/drawing/2014/main" id="{56BE3F3C-2805-96A1-090B-6ADC187B378C}"/>
            </a:ext>
          </a:extLst>
        </xdr:cNvPr>
        <xdr:cNvSpPr txBox="1"/>
      </xdr:nvSpPr>
      <xdr:spPr>
        <a:xfrm>
          <a:off x="2835088" y="2465295"/>
          <a:ext cx="4034118" cy="437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Total</a:t>
          </a:r>
          <a:r>
            <a:rPr lang="en-IN" sz="2000" b="1" baseline="0"/>
            <a:t> Employees Gender</a:t>
          </a:r>
          <a:endParaRPr lang="en-IN" sz="2000" b="1"/>
        </a:p>
      </xdr:txBody>
    </xdr:sp>
    <xdr:clientData/>
  </xdr:twoCellAnchor>
  <xdr:twoCellAnchor editAs="oneCell">
    <xdr:from>
      <xdr:col>5</xdr:col>
      <xdr:colOff>179294</xdr:colOff>
      <xdr:row>14</xdr:row>
      <xdr:rowOff>67237</xdr:rowOff>
    </xdr:from>
    <xdr:to>
      <xdr:col>9</xdr:col>
      <xdr:colOff>134471</xdr:colOff>
      <xdr:row>16</xdr:row>
      <xdr:rowOff>78442</xdr:rowOff>
    </xdr:to>
    <mc:AlternateContent xmlns:mc="http://schemas.openxmlformats.org/markup-compatibility/2006" xmlns:a14="http://schemas.microsoft.com/office/drawing/2010/main">
      <mc:Choice Requires="a14">
        <xdr:graphicFrame macro="">
          <xdr:nvGraphicFramePr>
            <xdr:cNvPr id="73" name="Gender 3">
              <a:extLst>
                <a:ext uri="{FF2B5EF4-FFF2-40B4-BE49-F238E27FC236}">
                  <a16:creationId xmlns:a16="http://schemas.microsoft.com/office/drawing/2014/main" id="{BBF6AA0E-F69D-4152-9D56-A6CB7ED6FDC7}"/>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3541059" y="2891119"/>
              <a:ext cx="2644588" cy="414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291353</xdr:colOff>
      <xdr:row>13</xdr:row>
      <xdr:rowOff>179295</xdr:rowOff>
    </xdr:from>
    <xdr:to>
      <xdr:col>18</xdr:col>
      <xdr:colOff>190500</xdr:colOff>
      <xdr:row>25</xdr:row>
      <xdr:rowOff>42582</xdr:rowOff>
    </xdr:to>
    <xdr:graphicFrame macro="">
      <xdr:nvGraphicFramePr>
        <xdr:cNvPr id="74" name="Chart 73">
          <a:extLst>
            <a:ext uri="{FF2B5EF4-FFF2-40B4-BE49-F238E27FC236}">
              <a16:creationId xmlns:a16="http://schemas.microsoft.com/office/drawing/2014/main" id="{5BA50BB3-D4E8-4632-9A6C-23C95C8E5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302560</xdr:colOff>
      <xdr:row>12</xdr:row>
      <xdr:rowOff>33618</xdr:rowOff>
    </xdr:from>
    <xdr:to>
      <xdr:col>16</xdr:col>
      <xdr:colOff>302560</xdr:colOff>
      <xdr:row>14</xdr:row>
      <xdr:rowOff>67237</xdr:rowOff>
    </xdr:to>
    <xdr:sp macro="" textlink="">
      <xdr:nvSpPr>
        <xdr:cNvPr id="75" name="TextBox 74">
          <a:extLst>
            <a:ext uri="{FF2B5EF4-FFF2-40B4-BE49-F238E27FC236}">
              <a16:creationId xmlns:a16="http://schemas.microsoft.com/office/drawing/2014/main" id="{F7F9DF54-7CCF-4DBB-914D-799C3BA8DAD0}"/>
            </a:ext>
          </a:extLst>
        </xdr:cNvPr>
        <xdr:cNvSpPr txBox="1"/>
      </xdr:nvSpPr>
      <xdr:spPr>
        <a:xfrm>
          <a:off x="7026089" y="2454089"/>
          <a:ext cx="4034118" cy="437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Education</a:t>
          </a:r>
          <a:r>
            <a:rPr lang="en-IN" sz="2000" b="1" baseline="0"/>
            <a:t> wise Attrition</a:t>
          </a:r>
          <a:endParaRPr lang="en-IN" sz="2000" b="1"/>
        </a:p>
      </xdr:txBody>
    </xdr:sp>
    <xdr:clientData/>
  </xdr:twoCellAnchor>
  <xdr:twoCellAnchor>
    <xdr:from>
      <xdr:col>18</xdr:col>
      <xdr:colOff>347382</xdr:colOff>
      <xdr:row>12</xdr:row>
      <xdr:rowOff>22412</xdr:rowOff>
    </xdr:from>
    <xdr:to>
      <xdr:col>24</xdr:col>
      <xdr:colOff>347382</xdr:colOff>
      <xdr:row>14</xdr:row>
      <xdr:rowOff>56031</xdr:rowOff>
    </xdr:to>
    <xdr:sp macro="" textlink="">
      <xdr:nvSpPr>
        <xdr:cNvPr id="76" name="TextBox 75">
          <a:extLst>
            <a:ext uri="{FF2B5EF4-FFF2-40B4-BE49-F238E27FC236}">
              <a16:creationId xmlns:a16="http://schemas.microsoft.com/office/drawing/2014/main" id="{FF15CD70-CE5F-45B7-B424-5F2530A48ACE}"/>
            </a:ext>
          </a:extLst>
        </xdr:cNvPr>
        <xdr:cNvSpPr txBox="1"/>
      </xdr:nvSpPr>
      <xdr:spPr>
        <a:xfrm>
          <a:off x="12449735" y="2442883"/>
          <a:ext cx="4034118" cy="437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Attrition By Job Role</a:t>
          </a:r>
        </a:p>
      </xdr:txBody>
    </xdr:sp>
    <xdr:clientData/>
  </xdr:twoCellAnchor>
  <xdr:twoCellAnchor>
    <xdr:from>
      <xdr:col>18</xdr:col>
      <xdr:colOff>291353</xdr:colOff>
      <xdr:row>13</xdr:row>
      <xdr:rowOff>190500</xdr:rowOff>
    </xdr:from>
    <xdr:to>
      <xdr:col>25</xdr:col>
      <xdr:colOff>403411</xdr:colOff>
      <xdr:row>25</xdr:row>
      <xdr:rowOff>56028</xdr:rowOff>
    </xdr:to>
    <mc:AlternateContent xmlns:mc="http://schemas.openxmlformats.org/markup-compatibility/2006">
      <mc:Choice xmlns:cx1="http://schemas.microsoft.com/office/drawing/2015/9/8/chartex" Requires="cx1">
        <xdr:graphicFrame macro="">
          <xdr:nvGraphicFramePr>
            <xdr:cNvPr id="77" name="Chart 76">
              <a:extLst>
                <a:ext uri="{FF2B5EF4-FFF2-40B4-BE49-F238E27FC236}">
                  <a16:creationId xmlns:a16="http://schemas.microsoft.com/office/drawing/2014/main" id="{9218AB22-53C3-4802-861E-7ACA91494A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2361433" y="2766060"/>
              <a:ext cx="4805978" cy="224296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33617</xdr:colOff>
      <xdr:row>27</xdr:row>
      <xdr:rowOff>100852</xdr:rowOff>
    </xdr:from>
    <xdr:to>
      <xdr:col>10</xdr:col>
      <xdr:colOff>145677</xdr:colOff>
      <xdr:row>38</xdr:row>
      <xdr:rowOff>78441</xdr:rowOff>
    </xdr:to>
    <xdr:graphicFrame macro="">
      <xdr:nvGraphicFramePr>
        <xdr:cNvPr id="78" name="Chart 77">
          <a:extLst>
            <a:ext uri="{FF2B5EF4-FFF2-40B4-BE49-F238E27FC236}">
              <a16:creationId xmlns:a16="http://schemas.microsoft.com/office/drawing/2014/main" id="{080B68BA-E336-40DC-AA62-2B475EB85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616324</xdr:colOff>
      <xdr:row>25</xdr:row>
      <xdr:rowOff>145677</xdr:rowOff>
    </xdr:from>
    <xdr:to>
      <xdr:col>9</xdr:col>
      <xdr:colOff>616325</xdr:colOff>
      <xdr:row>27</xdr:row>
      <xdr:rowOff>179295</xdr:rowOff>
    </xdr:to>
    <xdr:sp macro="" textlink="">
      <xdr:nvSpPr>
        <xdr:cNvPr id="58" name="TextBox 57">
          <a:extLst>
            <a:ext uri="{FF2B5EF4-FFF2-40B4-BE49-F238E27FC236}">
              <a16:creationId xmlns:a16="http://schemas.microsoft.com/office/drawing/2014/main" id="{ADF0C821-0EF9-481D-96AC-7859326DC133}"/>
            </a:ext>
          </a:extLst>
        </xdr:cNvPr>
        <xdr:cNvSpPr txBox="1"/>
      </xdr:nvSpPr>
      <xdr:spPr>
        <a:xfrm>
          <a:off x="2633383" y="5188324"/>
          <a:ext cx="4034118" cy="437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Department</a:t>
          </a:r>
          <a:r>
            <a:rPr lang="en-IN" sz="2000" b="1" baseline="0"/>
            <a:t> wise Attrition</a:t>
          </a:r>
          <a:endParaRPr lang="en-IN" sz="2000" b="1"/>
        </a:p>
      </xdr:txBody>
    </xdr:sp>
    <xdr:clientData/>
  </xdr:twoCellAnchor>
  <xdr:twoCellAnchor>
    <xdr:from>
      <xdr:col>10</xdr:col>
      <xdr:colOff>235324</xdr:colOff>
      <xdr:row>25</xdr:row>
      <xdr:rowOff>134471</xdr:rowOff>
    </xdr:from>
    <xdr:to>
      <xdr:col>16</xdr:col>
      <xdr:colOff>168088</xdr:colOff>
      <xdr:row>38</xdr:row>
      <xdr:rowOff>112058</xdr:rowOff>
    </xdr:to>
    <xdr:graphicFrame macro="">
      <xdr:nvGraphicFramePr>
        <xdr:cNvPr id="60" name="Chart 59">
          <a:extLst>
            <a:ext uri="{FF2B5EF4-FFF2-40B4-BE49-F238E27FC236}">
              <a16:creationId xmlns:a16="http://schemas.microsoft.com/office/drawing/2014/main" id="{EBE89E49-08BA-49A7-BF34-A02B05FF9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246529</xdr:colOff>
      <xdr:row>25</xdr:row>
      <xdr:rowOff>134470</xdr:rowOff>
    </xdr:from>
    <xdr:to>
      <xdr:col>16</xdr:col>
      <xdr:colOff>179293</xdr:colOff>
      <xdr:row>27</xdr:row>
      <xdr:rowOff>168088</xdr:rowOff>
    </xdr:to>
    <xdr:sp macro="" textlink="">
      <xdr:nvSpPr>
        <xdr:cNvPr id="61" name="TextBox 60">
          <a:extLst>
            <a:ext uri="{FF2B5EF4-FFF2-40B4-BE49-F238E27FC236}">
              <a16:creationId xmlns:a16="http://schemas.microsoft.com/office/drawing/2014/main" id="{98E6D270-7D09-4E58-A044-04BB69727AD3}"/>
            </a:ext>
          </a:extLst>
        </xdr:cNvPr>
        <xdr:cNvSpPr txBox="1"/>
      </xdr:nvSpPr>
      <xdr:spPr>
        <a:xfrm>
          <a:off x="7642411" y="5177117"/>
          <a:ext cx="3294529" cy="437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Attrition By Age Group</a:t>
          </a:r>
        </a:p>
      </xdr:txBody>
    </xdr:sp>
    <xdr:clientData/>
  </xdr:twoCellAnchor>
  <xdr:twoCellAnchor>
    <xdr:from>
      <xdr:col>16</xdr:col>
      <xdr:colOff>257734</xdr:colOff>
      <xdr:row>28</xdr:row>
      <xdr:rowOff>-1</xdr:rowOff>
    </xdr:from>
    <xdr:to>
      <xdr:col>20</xdr:col>
      <xdr:colOff>672351</xdr:colOff>
      <xdr:row>38</xdr:row>
      <xdr:rowOff>44821</xdr:rowOff>
    </xdr:to>
    <mc:AlternateContent xmlns:mc="http://schemas.openxmlformats.org/markup-compatibility/2006">
      <mc:Choice xmlns:cx2="http://schemas.microsoft.com/office/drawing/2015/10/21/chartex" Requires="cx2">
        <xdr:graphicFrame macro="">
          <xdr:nvGraphicFramePr>
            <xdr:cNvPr id="62" name="Chart 61">
              <a:extLst>
                <a:ext uri="{FF2B5EF4-FFF2-40B4-BE49-F238E27FC236}">
                  <a16:creationId xmlns:a16="http://schemas.microsoft.com/office/drawing/2014/main" id="{4DFBCC7F-61C3-4D82-BDAC-F92C92B812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0986694" y="5547359"/>
              <a:ext cx="3096857" cy="202602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291352</xdr:colOff>
      <xdr:row>25</xdr:row>
      <xdr:rowOff>168088</xdr:rowOff>
    </xdr:from>
    <xdr:to>
      <xdr:col>20</xdr:col>
      <xdr:colOff>638735</xdr:colOff>
      <xdr:row>27</xdr:row>
      <xdr:rowOff>168088</xdr:rowOff>
    </xdr:to>
    <xdr:sp macro="" textlink="">
      <xdr:nvSpPr>
        <xdr:cNvPr id="64" name="TextBox 63">
          <a:extLst>
            <a:ext uri="{FF2B5EF4-FFF2-40B4-BE49-F238E27FC236}">
              <a16:creationId xmlns:a16="http://schemas.microsoft.com/office/drawing/2014/main" id="{53F1EA64-01C0-447D-B502-EB7D2DD2B7F9}"/>
            </a:ext>
          </a:extLst>
        </xdr:cNvPr>
        <xdr:cNvSpPr txBox="1"/>
      </xdr:nvSpPr>
      <xdr:spPr>
        <a:xfrm>
          <a:off x="11048999" y="5210735"/>
          <a:ext cx="3036795" cy="403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Attrition By Marital Status</a:t>
          </a:r>
        </a:p>
      </xdr:txBody>
    </xdr:sp>
    <xdr:clientData/>
  </xdr:twoCellAnchor>
  <xdr:twoCellAnchor editAs="oneCell">
    <xdr:from>
      <xdr:col>21</xdr:col>
      <xdr:colOff>168088</xdr:colOff>
      <xdr:row>27</xdr:row>
      <xdr:rowOff>123265</xdr:rowOff>
    </xdr:from>
    <xdr:to>
      <xdr:col>23</xdr:col>
      <xdr:colOff>652182</xdr:colOff>
      <xdr:row>38</xdr:row>
      <xdr:rowOff>33618</xdr:rowOff>
    </xdr:to>
    <mc:AlternateContent xmlns:mc="http://schemas.openxmlformats.org/markup-compatibility/2006" xmlns:a14="http://schemas.microsoft.com/office/drawing/2010/main">
      <mc:Choice Requires="a14">
        <xdr:graphicFrame macro="">
          <xdr:nvGraphicFramePr>
            <xdr:cNvPr id="70" name="Education Field 2">
              <a:extLst>
                <a:ext uri="{FF2B5EF4-FFF2-40B4-BE49-F238E27FC236}">
                  <a16:creationId xmlns:a16="http://schemas.microsoft.com/office/drawing/2014/main" id="{F637F487-2119-4A56-B8EA-C7B7A22F26FE}"/>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4287500" y="5569324"/>
              <a:ext cx="1828800" cy="21291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27</xdr:row>
      <xdr:rowOff>123265</xdr:rowOff>
    </xdr:from>
    <xdr:to>
      <xdr:col>25</xdr:col>
      <xdr:colOff>347382</xdr:colOff>
      <xdr:row>35</xdr:row>
      <xdr:rowOff>179294</xdr:rowOff>
    </xdr:to>
    <mc:AlternateContent xmlns:mc="http://schemas.openxmlformats.org/markup-compatibility/2006" xmlns:a14="http://schemas.microsoft.com/office/drawing/2010/main">
      <mc:Choice Requires="a14">
        <xdr:graphicFrame macro="">
          <xdr:nvGraphicFramePr>
            <xdr:cNvPr id="72" name="Department 1">
              <a:extLst>
                <a:ext uri="{FF2B5EF4-FFF2-40B4-BE49-F238E27FC236}">
                  <a16:creationId xmlns:a16="http://schemas.microsoft.com/office/drawing/2014/main" id="{BFAF7C58-7B12-452E-B6A4-1D25F32060E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6136471" y="5569324"/>
              <a:ext cx="1019735" cy="1669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212912</xdr:colOff>
      <xdr:row>25</xdr:row>
      <xdr:rowOff>134471</xdr:rowOff>
    </xdr:from>
    <xdr:to>
      <xdr:col>23</xdr:col>
      <xdr:colOff>582706</xdr:colOff>
      <xdr:row>27</xdr:row>
      <xdr:rowOff>100853</xdr:rowOff>
    </xdr:to>
    <xdr:sp macro="" textlink="">
      <xdr:nvSpPr>
        <xdr:cNvPr id="59" name="TextBox 58">
          <a:extLst>
            <a:ext uri="{FF2B5EF4-FFF2-40B4-BE49-F238E27FC236}">
              <a16:creationId xmlns:a16="http://schemas.microsoft.com/office/drawing/2014/main" id="{68C1B2A4-13EA-64EA-93A9-F92F880744DB}"/>
            </a:ext>
          </a:extLst>
        </xdr:cNvPr>
        <xdr:cNvSpPr txBox="1"/>
      </xdr:nvSpPr>
      <xdr:spPr>
        <a:xfrm>
          <a:off x="14332324" y="5177118"/>
          <a:ext cx="1714500"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002060"/>
              </a:solidFill>
            </a:rPr>
            <a:t>Education Fild</a:t>
          </a:r>
        </a:p>
      </xdr:txBody>
    </xdr:sp>
    <xdr:clientData/>
  </xdr:twoCellAnchor>
  <xdr:twoCellAnchor>
    <xdr:from>
      <xdr:col>23</xdr:col>
      <xdr:colOff>593910</xdr:colOff>
      <xdr:row>25</xdr:row>
      <xdr:rowOff>145677</xdr:rowOff>
    </xdr:from>
    <xdr:to>
      <xdr:col>25</xdr:col>
      <xdr:colOff>369793</xdr:colOff>
      <xdr:row>27</xdr:row>
      <xdr:rowOff>123264</xdr:rowOff>
    </xdr:to>
    <xdr:sp macro="" textlink="">
      <xdr:nvSpPr>
        <xdr:cNvPr id="66" name="TextBox 65">
          <a:extLst>
            <a:ext uri="{FF2B5EF4-FFF2-40B4-BE49-F238E27FC236}">
              <a16:creationId xmlns:a16="http://schemas.microsoft.com/office/drawing/2014/main" id="{DEACADCB-1938-4D99-9FB5-B710AC4F6D5F}"/>
            </a:ext>
          </a:extLst>
        </xdr:cNvPr>
        <xdr:cNvSpPr txBox="1"/>
      </xdr:nvSpPr>
      <xdr:spPr>
        <a:xfrm>
          <a:off x="16058028" y="5188324"/>
          <a:ext cx="1120589"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002060"/>
              </a:solidFill>
            </a:rPr>
            <a:t>Department</a:t>
          </a:r>
        </a:p>
      </xdr:txBody>
    </xdr:sp>
    <xdr:clientData/>
  </xdr:twoCellAnchor>
</xdr:wsDr>
</file>

<file path=xl/drawings/drawing13.xml><?xml version="1.0" encoding="utf-8"?>
<c:userShapes xmlns:c="http://schemas.openxmlformats.org/drawingml/2006/chart">
  <cdr:relSizeAnchor xmlns:cdr="http://schemas.openxmlformats.org/drawingml/2006/chartDrawing">
    <cdr:from>
      <cdr:x>0.3875</cdr:x>
      <cdr:y>0.28125</cdr:y>
    </cdr:from>
    <cdr:to>
      <cdr:x>0.7125</cdr:x>
      <cdr:y>0.71875</cdr:y>
    </cdr:to>
    <cdr:sp macro="" textlink="">
      <cdr:nvSpPr>
        <cdr:cNvPr id="2" name="TextBox 1">
          <a:extLst xmlns:a="http://schemas.openxmlformats.org/drawingml/2006/main">
            <a:ext uri="{FF2B5EF4-FFF2-40B4-BE49-F238E27FC236}">
              <a16:creationId xmlns:a16="http://schemas.microsoft.com/office/drawing/2014/main" id="{F4416F55-C7F6-73CD-86B2-507AA9931608}"/>
            </a:ext>
          </a:extLst>
        </cdr:cNvPr>
        <cdr:cNvSpPr txBox="1"/>
      </cdr:nvSpPr>
      <cdr:spPr>
        <a:xfrm xmlns:a="http://schemas.openxmlformats.org/drawingml/2006/main">
          <a:off x="347381" y="201705"/>
          <a:ext cx="291353" cy="31376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0.225</cdr:x>
      <cdr:y>0.26562</cdr:y>
    </cdr:from>
    <cdr:to>
      <cdr:x>0.6875</cdr:x>
      <cdr:y>0.70312</cdr:y>
    </cdr:to>
    <cdr:sp macro="" textlink="Rating!$B$7">
      <cdr:nvSpPr>
        <cdr:cNvPr id="3" name="TextBox 2">
          <a:extLst xmlns:a="http://schemas.openxmlformats.org/drawingml/2006/main">
            <a:ext uri="{FF2B5EF4-FFF2-40B4-BE49-F238E27FC236}">
              <a16:creationId xmlns:a16="http://schemas.microsoft.com/office/drawing/2014/main" id="{D4EF9C07-D4B6-4FE0-4D80-B28E8AA81BFD}"/>
            </a:ext>
          </a:extLst>
        </cdr:cNvPr>
        <cdr:cNvSpPr txBox="1"/>
      </cdr:nvSpPr>
      <cdr:spPr>
        <a:xfrm xmlns:a="http://schemas.openxmlformats.org/drawingml/2006/main">
          <a:off x="201706" y="190499"/>
          <a:ext cx="414617" cy="313765"/>
        </a:xfrm>
        <a:prstGeom xmlns:a="http://schemas.openxmlformats.org/drawingml/2006/main" prst="rect">
          <a:avLst/>
        </a:prstGeom>
      </cdr:spPr>
      <cdr:txBody>
        <a:bodyPr xmlns:a="http://schemas.openxmlformats.org/drawingml/2006/main" vertOverflow="clip" wrap="square" rtlCol="0">
          <a:scene3d>
            <a:camera prst="obliqueTopRight"/>
            <a:lightRig rig="threePt" dir="t"/>
          </a:scene3d>
        </a:bodyPr>
        <a:lstStyle xmlns:a="http://schemas.openxmlformats.org/drawingml/2006/main"/>
        <a:p xmlns:a="http://schemas.openxmlformats.org/drawingml/2006/main">
          <a:fld id="{FF5F60BC-24F5-4364-8A1D-2E273B18E315}" type="TxLink">
            <a:rPr lang="en-US" sz="1400" b="0" i="0" u="none" strike="noStrike" kern="1200" cap="none" spc="0">
              <a:ln w="0"/>
              <a:solidFill>
                <a:schemeClr val="accent1"/>
              </a:solidFill>
              <a:effectLst>
                <a:outerShdw blurRad="38100" dist="25400" dir="5400000" algn="ctr" rotWithShape="0">
                  <a:srgbClr val="6E747A">
                    <a:alpha val="43000"/>
                  </a:srgbClr>
                </a:outerShdw>
              </a:effectLst>
              <a:latin typeface="Calibri"/>
              <a:ea typeface="Calibri"/>
              <a:cs typeface="Calibri"/>
            </a:rPr>
            <a:pPr/>
            <a:t>2.5</a:t>
          </a:fld>
          <a:endParaRPr lang="en-IN" sz="1400" b="0" kern="1200" cap="none" spc="0">
            <a:ln w="0"/>
            <a:solidFill>
              <a:schemeClr val="accent1"/>
            </a:solidFill>
            <a:effectLst>
              <a:outerShdw blurRad="38100" dist="25400" dir="5400000" algn="ctr" rotWithShape="0">
                <a:srgbClr val="6E747A">
                  <a:alpha val="43000"/>
                </a:srgbClr>
              </a:outerShdw>
            </a:effectLst>
          </a:endParaRPr>
        </a:p>
      </cdr:txBody>
    </cdr:sp>
  </cdr:relSizeAnchor>
</c:userShapes>
</file>

<file path=xl/drawings/drawing14.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4584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83945"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05.594765046299" createdVersion="8" refreshedVersion="8" minRefreshableVersion="3" recordCount="1470" xr:uid="{AA4E674C-D0FD-482D-9278-21B64E620012}">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675310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67310C-C2FC-483F-98D7-DD2AF65A5C18}"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h="1" x="0"/>
        <item h="1" x="3"/>
        <item x="4"/>
        <item h="1" x="1"/>
        <item h="1"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4">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791817-1C56-42E1-A7CD-B8D1E3B46C20}"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6BE09A-737F-4A58-8230-68B1B772CA32}" name="Education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1C6A27-9441-4E16-A5B2-BBB13B83326E}" name="Attria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B1BF65-41F7-4D12-B07F-335E105553CB}" name="Dept wise Job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1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2DBF53-FC84-4B32-BF0F-276ADF907BB9}"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CCAE7C-E50D-4B4A-8BB8-5DC0DAF43050}"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53B88-1353-4112-975F-FF7DD2990D7F}"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3:H1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2"/>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1ED1B13-E4E5-4A36-893A-9134ECA2D0C7}" sourceName="Education">
  <pivotTables>
    <pivotTable tabId="9" name="Rating"/>
  </pivotTables>
  <data>
    <tabular pivotCacheId="675310240">
      <items count="5">
        <i x="0"/>
        <i x="3"/>
        <i x="4"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94FF5E36-4488-41CE-ADE7-D2771F20F527}" sourceName="Gender">
  <pivotTables>
    <pivotTable tabId="10" name="Gender"/>
    <pivotTable tabId="14" name="Attrition by Age Group"/>
    <pivotTable tabId="12" name="Attriation by Job"/>
    <pivotTable tabId="13" name="Dept wise Job Role"/>
    <pivotTable tabId="11" name="Education Attrition"/>
    <pivotTable tabId="7" name="KPI"/>
    <pivotTable tabId="15" name="Marital Status"/>
    <pivotTable tabId="9" name="Rating"/>
  </pivotTables>
  <data>
    <tabular pivotCacheId="67531024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90F09A7-F0AD-44B2-9031-3A9324C0EE21}" sourceName="Department">
  <pivotTables>
    <pivotTable tabId="15" name="Marital Status"/>
    <pivotTable tabId="14" name="Attrition by Age Group"/>
    <pivotTable tabId="12" name="Attriation by Job"/>
    <pivotTable tabId="13" name="Dept wise Job Role"/>
    <pivotTable tabId="11" name="Education Attrition"/>
    <pivotTable tabId="7" name="KPI"/>
    <pivotTable tabId="9" name="Rating"/>
    <pivotTable tabId="10" name="Gender"/>
  </pivotTables>
  <data>
    <tabular pivotCacheId="675310240">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910CCCA2-3C2F-4BFB-A86E-6947E72F31C5}" sourceName="Education Field">
  <pivotTables>
    <pivotTable tabId="15" name="Marital Status"/>
    <pivotTable tabId="14" name="Attrition by Age Group"/>
    <pivotTable tabId="12" name="Attriation by Job"/>
    <pivotTable tabId="13" name="Dept wise Job Role"/>
    <pivotTable tabId="11" name="Education Attrition"/>
    <pivotTable tabId="7" name="KPI"/>
    <pivotTable tabId="9" name="Rating"/>
    <pivotTable tabId="10" name="Gender"/>
  </pivotTables>
  <data>
    <tabular pivotCacheId="675310240">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34DEED0E-F434-4A5C-AC2F-0BE060546BFE}" cache="Slicer_Education" caption="Education" style="SlicerStyleLight1" rowHeight="260350"/>
  <slicer name="Gender 1" xr10:uid="{86F69F61-6C8A-4496-9018-1B517228D147}" cache="Slicer_Gender2" caption="Gender" style="SlicerStyleLight1"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5556897-C902-4232-96ED-CD629CB61243}" cache="Slicer_Gender2" caption="Gender" style="SlicerStyleLight1" rowHeight="260350"/>
  <slicer name="Education Field" xr10:uid="{E0D0A4BE-4315-49C0-AA70-2710D931FA7D}" cache="Slicer_Education_Field1" caption="Education Field" style="SlicerStyleLight1"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93CB4C2-649D-4F60-92B6-FE97D82D3962}" cache="Slicer_Department" caption="Department" style="SlicerStyleLight1" rowHeight="260350"/>
  <slicer name="Education Field 1" xr10:uid="{5E805BEE-B2C3-4264-ABB9-4A0FE25D8F4C}" cache="Slicer_Education_Field1" caption="Education Field" style="SlicerStyleLight1"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B696230-BCF1-4B18-90CB-EBD3B6A315A4}" cache="Slicer_Gender2" caption="Gender" style="SlicerStyleLight1"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73BAB665-91CF-4FEF-B149-3309D06A9F35}" cache="Slicer_Gender2" caption="Gender" columnCount="2" showCaption="0" style="SlicerStyleDark6" rowHeight="260350"/>
  <slicer name="Department 1" xr10:uid="{B47D46AD-A8C8-4E7B-9945-F7546CAF4A36}" cache="Slicer_Department" caption="Department" showCaption="0" style="SlicerStyleDark6" rowHeight="396000"/>
  <slicer name="Education Field 2" xr10:uid="{DE25102A-15D5-4E34-8C78-45EB05BB8E71}" cache="Slicer_Education_Field1" caption="Education Field" showCaption="0" style="SlicerStyleDark6"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headerRowDxfId="3">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TableStyleLight1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E2449-7ECB-40C2-997F-6C0FBFCACD83}">
  <dimension ref="A3:C8"/>
  <sheetViews>
    <sheetView workbookViewId="0">
      <selection activeCell="O16" sqref="O16"/>
    </sheetView>
  </sheetViews>
  <sheetFormatPr defaultRowHeight="15.6" x14ac:dyDescent="0.3"/>
  <cols>
    <col min="1" max="1" width="23.59765625" bestFit="1" customWidth="1"/>
  </cols>
  <sheetData>
    <row r="3" spans="1:3" x14ac:dyDescent="0.3">
      <c r="A3" s="4" t="s">
        <v>1562</v>
      </c>
    </row>
    <row r="4" spans="1:3" x14ac:dyDescent="0.3">
      <c r="A4" s="11">
        <v>2.4583333333333335</v>
      </c>
    </row>
    <row r="7" spans="1:3" x14ac:dyDescent="0.3">
      <c r="A7" s="12" t="s">
        <v>1564</v>
      </c>
      <c r="B7" s="8">
        <f>GETPIVOTDATA("Job Satisfaction",$A$3)</f>
        <v>2.4583333333333335</v>
      </c>
      <c r="C7">
        <f>B7/4</f>
        <v>0.61458333333333337</v>
      </c>
    </row>
    <row r="8" spans="1:3" x14ac:dyDescent="0.3">
      <c r="A8" s="12" t="s">
        <v>1563</v>
      </c>
      <c r="B8" s="8">
        <f>4-B7</f>
        <v>1.5416666666666665</v>
      </c>
      <c r="C8">
        <f>B8/4</f>
        <v>0.38541666666666663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FFC64-5A10-4352-BBD6-C39E73F2553E}">
  <dimension ref="A3:C10"/>
  <sheetViews>
    <sheetView workbookViewId="0">
      <selection activeCell="C9" sqref="C9:C10"/>
    </sheetView>
  </sheetViews>
  <sheetFormatPr defaultRowHeight="15.6" x14ac:dyDescent="0.3"/>
  <cols>
    <col min="1" max="1" width="10.8984375" bestFit="1" customWidth="1"/>
    <col min="2" max="2" width="22.796875" bestFit="1" customWidth="1"/>
  </cols>
  <sheetData>
    <row r="3" spans="1:3" x14ac:dyDescent="0.3">
      <c r="A3" s="13" t="s">
        <v>1567</v>
      </c>
      <c r="B3" s="4" t="s">
        <v>1568</v>
      </c>
    </row>
    <row r="4" spans="1:3" x14ac:dyDescent="0.3">
      <c r="A4" s="14" t="s">
        <v>51</v>
      </c>
      <c r="B4" s="21">
        <v>588</v>
      </c>
    </row>
    <row r="5" spans="1:3" x14ac:dyDescent="0.3">
      <c r="A5" s="15" t="s">
        <v>62</v>
      </c>
      <c r="B5" s="23">
        <v>882</v>
      </c>
    </row>
    <row r="6" spans="1:3" x14ac:dyDescent="0.3">
      <c r="A6" s="16" t="s">
        <v>1566</v>
      </c>
      <c r="B6" s="22">
        <v>1470</v>
      </c>
    </row>
    <row r="9" spans="1:3" x14ac:dyDescent="0.3">
      <c r="A9" s="17" t="s">
        <v>51</v>
      </c>
      <c r="B9">
        <f>IFERROR(GETPIVOTDATA("Employee Count",$A$3,"Gender","Female"),0)</f>
        <v>588</v>
      </c>
      <c r="C9" s="7">
        <f>IFERROR(B9/($B$9+$B$10),0)</f>
        <v>0.4</v>
      </c>
    </row>
    <row r="10" spans="1:3" x14ac:dyDescent="0.3">
      <c r="A10" s="17" t="s">
        <v>1569</v>
      </c>
      <c r="B10">
        <f>IFERROR(GETPIVOTDATA("Employee Count",$A$3,"Gender","Male"),0)</f>
        <v>882</v>
      </c>
      <c r="C10" s="7">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7A611-DC92-4174-BA0E-BF3AFC00486A}">
  <dimension ref="A3:B9"/>
  <sheetViews>
    <sheetView workbookViewId="0">
      <selection activeCell="I26" sqref="I26"/>
    </sheetView>
  </sheetViews>
  <sheetFormatPr defaultRowHeight="15.6" x14ac:dyDescent="0.3"/>
  <cols>
    <col min="1" max="1" width="16" bestFit="1" customWidth="1"/>
    <col min="2" max="2" width="22.796875" bestFit="1" customWidth="1"/>
  </cols>
  <sheetData>
    <row r="3" spans="1:2" x14ac:dyDescent="0.3">
      <c r="A3" s="13" t="s">
        <v>1565</v>
      </c>
      <c r="B3" s="4" t="s">
        <v>1555</v>
      </c>
    </row>
    <row r="4" spans="1:2" x14ac:dyDescent="0.3">
      <c r="A4" s="14" t="s">
        <v>134</v>
      </c>
      <c r="B4" s="21">
        <v>5</v>
      </c>
    </row>
    <row r="5" spans="1:2" x14ac:dyDescent="0.3">
      <c r="A5" s="15" t="s">
        <v>65</v>
      </c>
      <c r="B5" s="23">
        <v>31</v>
      </c>
    </row>
    <row r="6" spans="1:2" x14ac:dyDescent="0.3">
      <c r="A6" s="15" t="s">
        <v>55</v>
      </c>
      <c r="B6" s="23">
        <v>44</v>
      </c>
    </row>
    <row r="7" spans="1:2" x14ac:dyDescent="0.3">
      <c r="A7" s="15" t="s">
        <v>71</v>
      </c>
      <c r="B7" s="23">
        <v>58</v>
      </c>
    </row>
    <row r="8" spans="1:2" x14ac:dyDescent="0.3">
      <c r="A8" s="15" t="s">
        <v>77</v>
      </c>
      <c r="B8" s="23">
        <v>99</v>
      </c>
    </row>
    <row r="9" spans="1:2" x14ac:dyDescent="0.3">
      <c r="A9" s="16" t="s">
        <v>1566</v>
      </c>
      <c r="B9" s="22">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C3359-EF08-426D-93EF-A6AA86CB607E}">
  <dimension ref="A3:E13"/>
  <sheetViews>
    <sheetView workbookViewId="0">
      <selection activeCell="D19" sqref="D19"/>
    </sheetView>
  </sheetViews>
  <sheetFormatPr defaultRowHeight="15.6" x14ac:dyDescent="0.3"/>
  <cols>
    <col min="1" max="1" width="23.296875" bestFit="1" customWidth="1"/>
    <col min="2" max="2" width="22.796875" bestFit="1" customWidth="1"/>
    <col min="4" max="4" width="23.296875" bestFit="1" customWidth="1"/>
  </cols>
  <sheetData>
    <row r="3" spans="1:5" x14ac:dyDescent="0.3">
      <c r="A3" s="13" t="s">
        <v>1565</v>
      </c>
      <c r="B3" s="4" t="s">
        <v>1555</v>
      </c>
      <c r="D3" t="s">
        <v>9</v>
      </c>
      <c r="E3" t="s">
        <v>0</v>
      </c>
    </row>
    <row r="4" spans="1:5" x14ac:dyDescent="0.3">
      <c r="A4" s="14" t="s">
        <v>83</v>
      </c>
      <c r="B4" s="21">
        <v>9</v>
      </c>
      <c r="D4" t="str">
        <f>A4</f>
        <v>Healthcare Representative</v>
      </c>
      <c r="E4">
        <f>GETPIVOTDATA("CF_attrition count",$A$3,"Job Role",A4)</f>
        <v>9</v>
      </c>
    </row>
    <row r="5" spans="1:5" x14ac:dyDescent="0.3">
      <c r="A5" s="15" t="s">
        <v>163</v>
      </c>
      <c r="B5" s="23">
        <v>12</v>
      </c>
      <c r="D5" t="str">
        <f t="shared" ref="D5:D12" si="0">A5</f>
        <v>Human Resources</v>
      </c>
      <c r="E5">
        <f t="shared" ref="E5:E12" si="1">GETPIVOTDATA("CF_attrition count",$A$3,"Job Role",A5)</f>
        <v>12</v>
      </c>
    </row>
    <row r="6" spans="1:5" x14ac:dyDescent="0.3">
      <c r="A6" s="15" t="s">
        <v>68</v>
      </c>
      <c r="B6" s="23">
        <v>62</v>
      </c>
      <c r="D6" t="str">
        <f t="shared" si="0"/>
        <v>Laboratory Technician</v>
      </c>
      <c r="E6">
        <f t="shared" si="1"/>
        <v>62</v>
      </c>
    </row>
    <row r="7" spans="1:5" x14ac:dyDescent="0.3">
      <c r="A7" s="15" t="s">
        <v>95</v>
      </c>
      <c r="B7" s="23">
        <v>5</v>
      </c>
      <c r="D7" t="str">
        <f t="shared" si="0"/>
        <v>Manager</v>
      </c>
      <c r="E7">
        <f t="shared" si="1"/>
        <v>5</v>
      </c>
    </row>
    <row r="8" spans="1:5" x14ac:dyDescent="0.3">
      <c r="A8" s="15" t="s">
        <v>81</v>
      </c>
      <c r="B8" s="23">
        <v>10</v>
      </c>
      <c r="D8" t="str">
        <f t="shared" si="0"/>
        <v>Manufacturing Director</v>
      </c>
      <c r="E8">
        <f t="shared" si="1"/>
        <v>10</v>
      </c>
    </row>
    <row r="9" spans="1:5" x14ac:dyDescent="0.3">
      <c r="A9" s="15" t="s">
        <v>101</v>
      </c>
      <c r="B9" s="23">
        <v>2</v>
      </c>
      <c r="D9" t="str">
        <f t="shared" si="0"/>
        <v>Research Director</v>
      </c>
      <c r="E9">
        <f t="shared" si="1"/>
        <v>2</v>
      </c>
    </row>
    <row r="10" spans="1:5" x14ac:dyDescent="0.3">
      <c r="A10" s="15" t="s">
        <v>63</v>
      </c>
      <c r="B10" s="23">
        <v>47</v>
      </c>
      <c r="D10" t="str">
        <f t="shared" si="0"/>
        <v>Research Scientist</v>
      </c>
      <c r="E10">
        <f t="shared" si="1"/>
        <v>47</v>
      </c>
    </row>
    <row r="11" spans="1:5" x14ac:dyDescent="0.3">
      <c r="A11" s="15" t="s">
        <v>52</v>
      </c>
      <c r="B11" s="23">
        <v>57</v>
      </c>
      <c r="D11" t="str">
        <f t="shared" si="0"/>
        <v>Sales Executive</v>
      </c>
      <c r="E11">
        <f t="shared" si="1"/>
        <v>57</v>
      </c>
    </row>
    <row r="12" spans="1:5" x14ac:dyDescent="0.3">
      <c r="A12" s="15" t="s">
        <v>99</v>
      </c>
      <c r="B12" s="23">
        <v>33</v>
      </c>
      <c r="D12" t="str">
        <f t="shared" si="0"/>
        <v>Sales Representative</v>
      </c>
      <c r="E12">
        <f t="shared" si="1"/>
        <v>33</v>
      </c>
    </row>
    <row r="13" spans="1:5" x14ac:dyDescent="0.3">
      <c r="A13" s="16" t="s">
        <v>1566</v>
      </c>
      <c r="B13" s="22">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06946-D718-4156-8DC7-9F028009A098}">
  <dimension ref="A3:B7"/>
  <sheetViews>
    <sheetView workbookViewId="0">
      <selection activeCell="B5" sqref="B5"/>
    </sheetView>
  </sheetViews>
  <sheetFormatPr defaultRowHeight="15.6" x14ac:dyDescent="0.3"/>
  <cols>
    <col min="1" max="1" width="12.19921875" bestFit="1" customWidth="1"/>
    <col min="2" max="2" width="22.796875" bestFit="1" customWidth="1"/>
  </cols>
  <sheetData>
    <row r="3" spans="1:2" x14ac:dyDescent="0.3">
      <c r="A3" s="13" t="s">
        <v>1565</v>
      </c>
      <c r="B3" s="4" t="s">
        <v>1555</v>
      </c>
    </row>
    <row r="4" spans="1:2" x14ac:dyDescent="0.3">
      <c r="A4" s="14" t="s">
        <v>161</v>
      </c>
      <c r="B4" s="18">
        <v>5.0632911392405063E-2</v>
      </c>
    </row>
    <row r="5" spans="1:2" x14ac:dyDescent="0.3">
      <c r="A5" s="15" t="s">
        <v>60</v>
      </c>
      <c r="B5" s="19">
        <v>0.56118143459915615</v>
      </c>
    </row>
    <row r="6" spans="1:2" x14ac:dyDescent="0.3">
      <c r="A6" s="15" t="s">
        <v>48</v>
      </c>
      <c r="B6" s="19">
        <v>0.3881856540084388</v>
      </c>
    </row>
    <row r="7" spans="1:2" x14ac:dyDescent="0.3">
      <c r="A7" s="16" t="s">
        <v>1566</v>
      </c>
      <c r="B7" s="20">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ED1FD-CA93-4D3E-BDCA-CABDC398B3F7}">
  <dimension ref="A3:B9"/>
  <sheetViews>
    <sheetView workbookViewId="0">
      <selection activeCell="K23" sqref="K23"/>
    </sheetView>
  </sheetViews>
  <sheetFormatPr defaultRowHeight="15.6" x14ac:dyDescent="0.3"/>
  <cols>
    <col min="1" max="1" width="12.19921875" bestFit="1" customWidth="1"/>
    <col min="2" max="2" width="22.796875" bestFit="1" customWidth="1"/>
  </cols>
  <sheetData>
    <row r="3" spans="1:2" x14ac:dyDescent="0.3">
      <c r="A3" s="13" t="s">
        <v>1565</v>
      </c>
      <c r="B3" s="4" t="s">
        <v>1555</v>
      </c>
    </row>
    <row r="4" spans="1:2" x14ac:dyDescent="0.3">
      <c r="A4" s="14" t="s">
        <v>69</v>
      </c>
      <c r="B4" s="21">
        <v>112</v>
      </c>
    </row>
    <row r="5" spans="1:2" x14ac:dyDescent="0.3">
      <c r="A5" s="15" t="s">
        <v>46</v>
      </c>
      <c r="B5" s="23">
        <v>51</v>
      </c>
    </row>
    <row r="6" spans="1:2" x14ac:dyDescent="0.3">
      <c r="A6" s="15" t="s">
        <v>92</v>
      </c>
      <c r="B6" s="23">
        <v>38</v>
      </c>
    </row>
    <row r="7" spans="1:2" x14ac:dyDescent="0.3">
      <c r="A7" s="15" t="s">
        <v>58</v>
      </c>
      <c r="B7" s="23">
        <v>25</v>
      </c>
    </row>
    <row r="8" spans="1:2" x14ac:dyDescent="0.3">
      <c r="A8" s="15" t="s">
        <v>75</v>
      </c>
      <c r="B8" s="23">
        <v>11</v>
      </c>
    </row>
    <row r="9" spans="1:2" x14ac:dyDescent="0.3">
      <c r="A9" s="16" t="s">
        <v>1566</v>
      </c>
      <c r="B9" s="22">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90C1F-F66B-4152-BBBA-0E95E9C3E327}">
  <dimension ref="A3:E7"/>
  <sheetViews>
    <sheetView workbookViewId="0">
      <selection activeCell="N21" sqref="N21"/>
    </sheetView>
  </sheetViews>
  <sheetFormatPr defaultRowHeight="15.6" x14ac:dyDescent="0.3"/>
  <cols>
    <col min="1" max="1" width="12.19921875" bestFit="1" customWidth="1"/>
    <col min="2" max="2" width="16" bestFit="1" customWidth="1"/>
    <col min="4" max="4" width="12.69921875" bestFit="1" customWidth="1"/>
  </cols>
  <sheetData>
    <row r="3" spans="1:5" x14ac:dyDescent="0.3">
      <c r="A3" s="13" t="s">
        <v>1565</v>
      </c>
      <c r="B3" s="4" t="s">
        <v>1570</v>
      </c>
      <c r="D3" s="12" t="s">
        <v>10</v>
      </c>
      <c r="E3" s="12" t="s">
        <v>0</v>
      </c>
    </row>
    <row r="4" spans="1:5" x14ac:dyDescent="0.3">
      <c r="A4" s="14" t="s">
        <v>79</v>
      </c>
      <c r="B4" s="21">
        <v>327</v>
      </c>
      <c r="D4" t="str">
        <f>A4</f>
        <v>Divorced</v>
      </c>
      <c r="E4">
        <f>GETPIVOTDATA("Attrition",$A$3,"Marital Status",A4)</f>
        <v>327</v>
      </c>
    </row>
    <row r="5" spans="1:5" x14ac:dyDescent="0.3">
      <c r="A5" s="15" t="s">
        <v>53</v>
      </c>
      <c r="B5" s="23">
        <v>470</v>
      </c>
      <c r="D5" t="str">
        <f>A5</f>
        <v>Single</v>
      </c>
      <c r="E5">
        <f>GETPIVOTDATA("Attrition",$A$3,"Marital Status",A5)</f>
        <v>470</v>
      </c>
    </row>
    <row r="6" spans="1:5" x14ac:dyDescent="0.3">
      <c r="A6" s="15" t="s">
        <v>64</v>
      </c>
      <c r="B6" s="23">
        <v>673</v>
      </c>
      <c r="D6" t="str">
        <f>A6</f>
        <v>Married</v>
      </c>
      <c r="E6">
        <f>GETPIVOTDATA("Attrition",$A$3,"Marital Status",A6)</f>
        <v>673</v>
      </c>
    </row>
    <row r="7" spans="1:5" x14ac:dyDescent="0.3">
      <c r="A7" s="16" t="s">
        <v>1566</v>
      </c>
      <c r="B7" s="22">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sqref="A1:AR1471"/>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127BE-E1BB-48B6-B799-8B9A1A3A764F}">
  <dimension ref="B13:H19"/>
  <sheetViews>
    <sheetView topLeftCell="A9" workbookViewId="0">
      <selection activeCell="I26" sqref="I26"/>
    </sheetView>
  </sheetViews>
  <sheetFormatPr defaultRowHeight="15.6" x14ac:dyDescent="0.3"/>
  <cols>
    <col min="6" max="6" width="24.5" bestFit="1" customWidth="1"/>
    <col min="7" max="7" width="22.796875" bestFit="1" customWidth="1"/>
    <col min="8" max="8" width="13.5" bestFit="1" customWidth="1"/>
  </cols>
  <sheetData>
    <row r="13" spans="6:8" x14ac:dyDescent="0.3">
      <c r="F13" s="3" t="s">
        <v>1554</v>
      </c>
      <c r="G13" s="6" t="s">
        <v>1555</v>
      </c>
      <c r="H13" s="5" t="s">
        <v>1556</v>
      </c>
    </row>
    <row r="14" spans="6:8" x14ac:dyDescent="0.3">
      <c r="F14" s="24">
        <v>1470</v>
      </c>
      <c r="G14" s="25">
        <v>237</v>
      </c>
      <c r="H14" s="26">
        <v>36.923809523809524</v>
      </c>
    </row>
    <row r="18" spans="2:8" x14ac:dyDescent="0.3">
      <c r="B18" t="s">
        <v>1557</v>
      </c>
      <c r="D18" t="s">
        <v>1558</v>
      </c>
      <c r="F18" t="s">
        <v>1559</v>
      </c>
      <c r="G18" t="s">
        <v>1560</v>
      </c>
      <c r="H18" t="s">
        <v>1561</v>
      </c>
    </row>
    <row r="19" spans="2:8" x14ac:dyDescent="0.3">
      <c r="B19">
        <f>GETPIVOTDATA("Count of Employee Number",$F$13)</f>
        <v>1470</v>
      </c>
      <c r="D19">
        <f>GETPIVOTDATA("Sum of CF_attrition count",$F$13)</f>
        <v>237</v>
      </c>
      <c r="F19" s="9">
        <f>GETPIVOTDATA("Average of Age",$F$13)</f>
        <v>36.923809523809524</v>
      </c>
      <c r="G19">
        <f>B19-D19</f>
        <v>1233</v>
      </c>
      <c r="H19" s="7">
        <f>D19/B19</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election activeCell="O22" sqref="O22"/>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3883F-0F41-4DBE-BA88-906B5F36DCBB}">
  <dimension ref="A1"/>
  <sheetViews>
    <sheetView showGridLines="0" tabSelected="1" zoomScale="68" zoomScaleNormal="68" workbookViewId="0">
      <selection activeCell="AB13" sqref="AB13"/>
    </sheetView>
  </sheetViews>
  <sheetFormatPr defaultRowHeight="15.6" x14ac:dyDescent="0.3"/>
  <cols>
    <col min="1" max="16384" width="8.796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Rating</vt:lpstr>
      <vt:lpstr>Sheet1</vt:lpstr>
      <vt:lpstr>Education Attrition</vt:lpstr>
      <vt:lpstr>Attrition by Job</vt:lpstr>
      <vt:lpstr>Dept wise job Role</vt:lpstr>
      <vt:lpstr>Attrition by Age Group</vt:lpstr>
      <vt:lpstr>Marital Status</vt:lpstr>
      <vt:lpstr>Data</vt:lpstr>
      <vt:lpstr>KPI</vt:lpstr>
      <vt:lpstr>Images</vt:lpstr>
      <vt:lpstr>Background 1</vt:lpstr>
      <vt:lpstr>Background 2</vt:lpstr>
      <vt:lpstr>Dashboard</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rahulmeshram8006@outlook.com</cp:lastModifiedBy>
  <dcterms:created xsi:type="dcterms:W3CDTF">2022-12-29T16:02:46Z</dcterms:created>
  <dcterms:modified xsi:type="dcterms:W3CDTF">2025-12-17T11:34:21Z</dcterms:modified>
</cp:coreProperties>
</file>